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bf133c37ac48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2 Arquitetura Final" sheetId="1" r:id="R8e627611a1e141ff"/>
    <x:sheet xmlns:r="http://schemas.openxmlformats.org/officeDocument/2006/relationships" name="01 Resumo" sheetId="2" r:id="R3c8dafed6d784fb4"/>
    <x:sheet xmlns:r="http://schemas.openxmlformats.org/officeDocument/2006/relationships" name="03 Tratamentos e Taxonomia" sheetId="3" r:id="Rea274156edd448b1"/>
    <x:sheet xmlns:r="http://schemas.openxmlformats.org/officeDocument/2006/relationships" name="04 Keyword Map V4" sheetId="4" r:id="Rf12f46e541aa4c8b"/>
    <x:sheet xmlns:r="http://schemas.openxmlformats.org/officeDocument/2006/relationships" name="05 Copy SEO" sheetId="5" r:id="R7300c6f9580149b7"/>
    <x:sheet xmlns:r="http://schemas.openxmlformats.org/officeDocument/2006/relationships" name="06 Blog e Conteúdo" sheetId="6" r:id="R210c83a121d04380"/>
    <x:sheet xmlns:r="http://schemas.openxmlformats.org/officeDocument/2006/relationships" name="07 Google Ads" sheetId="7" r:id="R4a2ac3194d13483d"/>
    <x:sheet xmlns:r="http://schemas.openxmlformats.org/officeDocument/2006/relationships" name="08 Migração e Redirects" sheetId="8" r:id="Re5b65141d4bf40aa"/>
    <x:sheet xmlns:r="http://schemas.openxmlformats.org/officeDocument/2006/relationships" name="09 SEO Técnico" sheetId="9" r:id="R8d52ce446c2343a2"/>
    <x:sheet xmlns:r="http://schemas.openxmlformats.org/officeDocument/2006/relationships" name="10 Sanity CMS" sheetId="10" r:id="Rbe44d7bec5734503"/>
    <x:sheet xmlns:r="http://schemas.openxmlformats.org/officeDocument/2006/relationships" name="11 UI e Assets" sheetId="11" r:id="R3addb44b9fc746ff"/>
    <x:sheet xmlns:r="http://schemas.openxmlformats.org/officeDocument/2006/relationships" name="12 Tracking e Pendências" sheetId="12" r:id="Rd74a55fb73e34255"/>
    <x:sheet xmlns:r="http://schemas.openxmlformats.org/officeDocument/2006/relationships" name="13 Pesquisa SE Ranking" sheetId="13" r:id="Rdd1542cb705646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4"/>
      <x:color rgb="FFFFFFFF"/>
      <x:name val="Carlito"/>
    </x:font>
    <x:font>
      <x:b/>
      <x:sz val="13"/>
      <x:color rgb="FFFFFFFF"/>
      <x:name val="Carlito"/>
    </x:font>
    <x:font>
      <x:i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F2738"/>
      </x:patternFill>
    </x:fill>
    <x:fill>
      <x:patternFill patternType="solid">
        <x:fgColor rgb="FF69425D"/>
      </x:patternFill>
    </x:fill>
    <x:fill>
      <x:patternFill patternType="solid">
        <x:fgColor rgb="FFFFF6FC"/>
      </x:patternFill>
    </x:fill>
    <x:fill>
      <x:patternFill patternType="solid">
        <x:fgColor rgb="FFF4EAF1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4">
    <x:dxf>
      <x:font>
        <x:b/>
        <x:color rgb="FF7A1F2B"/>
      </x:font>
      <x:fill>
        <x:patternFill patternType="solid">
          <x:bgColor rgb="FFFDE2E4"/>
        </x:patternFill>
      </x:fill>
    </x:dxf>
    <x:dxf>
      <x:font>
        <x:b/>
        <x:color rgb="FF73510D"/>
      </x:font>
      <x:fill>
        <x:patternFill patternType="solid">
          <x:bgColor rgb="FFFFF1CC"/>
        </x:patternFill>
      </x:fill>
    </x:dxf>
    <x:dxf>
      <x:font>
        <x:color rgb="FF295C37"/>
      </x:font>
      <x:fill>
        <x:patternFill patternType="solid">
          <x:bgColor rgb="FFDFF3E6"/>
        </x:patternFill>
      </x:fill>
    </x:dxf>
    <x:dxf>
      <x:font>
        <x:b/>
        <x:color rgb="FF1E6034"/>
      </x:font>
      <x:fill>
        <x:patternFill patternType="solid">
          <x:bgColor rgb="FFDFF3E6"/>
        </x:patternFill>
      </x:fill>
    </x:dxf>
    <x:dxf>
      <x:font>
        <x:color rgb="FF403B82"/>
      </x:font>
      <x:fill>
        <x:patternFill patternType="solid">
          <x:bgColor rgb="FFE8E7F6"/>
        </x:patternFill>
      </x:fill>
    </x:dxf>
    <x:dxf>
      <x:font>
        <x:b/>
        <x:color rgb="FF7A1F2B"/>
      </x:font>
      <x:fill>
        <x:patternFill patternType="solid">
          <x:bgColor rgb="FFFDE2E4"/>
        </x:patternFill>
      </x:fill>
    </x:dxf>
    <x:dxf>
      <x:font>
        <x:b/>
        <x:color rgb="FF1E6034"/>
      </x:font>
      <x:fill>
        <x:patternFill patternType="solid">
          <x:bgColor rgb="FFDFF3E6"/>
        </x:patternFill>
      </x:fill>
    </x:dxf>
    <x:dxf>
      <x:font>
        <x:color rgb="FF73510D"/>
      </x:font>
      <x:fill>
        <x:patternFill patternType="solid">
          <x:bgColor rgb="FFFFF1CC"/>
        </x:patternFill>
      </x:fill>
    </x:dxf>
    <x:dxf>
      <x:font>
        <x:b/>
        <x:color rgb="FF1E6034"/>
      </x:font>
      <x:fill>
        <x:patternFill patternType="solid">
          <x:bgColor rgb="FFDFF3E6"/>
        </x:patternFill>
      </x:fill>
    </x:dxf>
    <x:dxf>
      <x:font>
        <x:color rgb="FF73510D"/>
      </x:font>
      <x:fill>
        <x:patternFill patternType="solid">
          <x:bgColor rgb="FFFFF1CC"/>
        </x:patternFill>
      </x:fill>
    </x:dxf>
    <x:dxf>
      <x:font>
        <x:b/>
        <x:color rgb="FF1E6034"/>
      </x:font>
      <x:fill>
        <x:patternFill patternType="solid">
          <x:bgColor rgb="FFDFF3E6"/>
        </x:patternFill>
      </x:fill>
    </x:dxf>
    <x:dxf>
      <x:font>
        <x:color rgb="FF73510D"/>
      </x:font>
      <x:fill>
        <x:patternFill patternType="solid">
          <x:bgColor rgb="FFFFF1CC"/>
        </x:patternFill>
      </x:fill>
    </x:dxf>
    <x:dxf>
      <x:font>
        <x:b/>
        <x:color rgb="FF1E6034"/>
      </x:font>
      <x:fill>
        <x:patternFill patternType="solid">
          <x:bgColor rgb="FFDFF3E6"/>
        </x:patternFill>
      </x:fill>
    </x:dxf>
    <x:dxf>
      <x:font>
        <x:color rgb="FF73510D"/>
      </x:font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eb26632a8b4fe0" /><Relationship Type="http://schemas.openxmlformats.org/officeDocument/2006/relationships/theme" Target="/xl/theme/theme1.xml" Id="Ra7f8ab61813641ae" /><Relationship Type="http://schemas.openxmlformats.org/officeDocument/2006/relationships/sharedStrings" Target="/xl/sharedStrings.xml" Id="R9d8e8849d2654cb6" /><Relationship Type="http://schemas.openxmlformats.org/officeDocument/2006/relationships/worksheet" Target="/xl/worksheets/sheet1.xml" Id="R8e627611a1e141ff" /><Relationship Type="http://schemas.openxmlformats.org/officeDocument/2006/relationships/worksheet" Target="/xl/worksheets/sheet2.xml" Id="R3c8dafed6d784fb4" /><Relationship Type="http://schemas.openxmlformats.org/officeDocument/2006/relationships/worksheet" Target="/xl/worksheets/sheet3.xml" Id="Rea274156edd448b1" /><Relationship Type="http://schemas.openxmlformats.org/officeDocument/2006/relationships/worksheet" Target="/xl/worksheets/sheet4.xml" Id="Rf12f46e541aa4c8b" /><Relationship Type="http://schemas.openxmlformats.org/officeDocument/2006/relationships/worksheet" Target="/xl/worksheets/sheet5.xml" Id="R7300c6f9580149b7" /><Relationship Type="http://schemas.openxmlformats.org/officeDocument/2006/relationships/worksheet" Target="/xl/worksheets/sheet6.xml" Id="R210c83a121d04380" /><Relationship Type="http://schemas.openxmlformats.org/officeDocument/2006/relationships/worksheet" Target="/xl/worksheets/sheet7.xml" Id="R4a2ac3194d13483d" /><Relationship Type="http://schemas.openxmlformats.org/officeDocument/2006/relationships/worksheet" Target="/xl/worksheets/sheet8.xml" Id="Re5b65141d4bf40aa" /><Relationship Type="http://schemas.openxmlformats.org/officeDocument/2006/relationships/worksheet" Target="/xl/worksheets/sheet9.xml" Id="R8d52ce446c2343a2" /><Relationship Type="http://schemas.openxmlformats.org/officeDocument/2006/relationships/worksheet" Target="/xl/worksheets/sheet10.xml" Id="Rbe44d7bec5734503" /><Relationship Type="http://schemas.openxmlformats.org/officeDocument/2006/relationships/worksheet" Target="/xl/worksheets/sheet11.xml" Id="R3addb44b9fc746ff" /><Relationship Type="http://schemas.openxmlformats.org/officeDocument/2006/relationships/worksheet" Target="/xl/worksheets/sheet12.xml" Id="Rd74a55fb73e34255" /><Relationship Type="http://schemas.openxmlformats.org/officeDocument/2006/relationships/worksheet" Target="/xl/worksheets/sheet13.xml" Id="Rdd1542cb7056460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50e467b5aa0485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Itens da arquitetura por prioridade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Qtd</c:v>
          </c:tx>
          <c:cat>
            <c:strRef>
              <c:f>'01 Resumo'!$A$15:$A$17</c:f>
              <c:strCache>
                <c:ptCount val="0"/>
              </c:strCache>
            </c:strRef>
          </c:cat>
          <c:val>
            <c:numRef>
              <c:f>'01 Resumo'!$B$15:$B$17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0e467b5aa0485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rchitectureV4Table" displayName="ArchitectureV4Table" ref="A1:Z46" headerRowCount="1" totalsRowCount="0" totalsRowShown="0">
  <x:tableColumns count="26">
    <x:tableColumn id="1" name="ID"/>
    <x:tableColumn id="2" name="Área"/>
    <x:tableColumn id="3" name="Tipo"/>
    <x:tableColumn id="4" name="Página / papel final"/>
    <x:tableColumn id="5" name="URL final proposta"/>
    <x:tableColumn id="6" name="Prioridade"/>
    <x:tableColumn id="7" name="Status para desenvolvimento"/>
    <x:tableColumn id="8" name="Status de publicação"/>
    <x:tableColumn id="9" name="Keyword SEO principal"/>
    <x:tableColumn id="10" name="Evidência de volume SE Ranking"/>
    <x:tableColumn id="11" name="KD / dificuldade"/>
    <x:tableColumn id="12" name="Sinal local"/>
    <x:tableColumn id="13" name="Intenção dominante"/>
    <x:tableColumn id="14" name="H1 V4"/>
    <x:tableColumn id="15" name="Title SEO V4"/>
    <x:tableColumn id="16" name="Direção da copy do hero"/>
    <x:tableColumn id="17" name="Seções-chave / conteúdo"/>
    <x:tableColumn id="18" name="Estratégia geográfica"/>
    <x:tableColumn id="19" name="Indexação"/>
    <x:tableColumn id="20" name="Google Ads"/>
    <x:tableColumn id="21" name="Modelo Sanity"/>
    <x:tableColumn id="22" name="Fonte conteúdo Sara"/>
    <x:tableColumn id="23" name="Links internos prioritários"/>
    <x:tableColumn id="24" name="Assets prioritários"/>
    <x:tableColumn id="25" name="Decisão / observação"/>
    <x:tableColumn id="26" name="Fonte SE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xonomyV4Table" displayName="TaxonomyV4Table" ref="A1:J27" headerRowCount="1" totalsRowCount="0" totalsRowShown="0">
  <x:tableColumns count="10">
    <x:tableColumn id="1" name="Macroárea"/>
    <x:tableColumn id="2" name="Nome clínico / Sara"/>
    <x:tableColumn id="3" name="Nome SEO / menu"/>
    <x:tableColumn id="4" name="URL final"/>
    <x:tableColumn id="5" name="Papel"/>
    <x:tableColumn id="6" name="Prioridade"/>
    <x:tableColumn id="7" name="Decisão V4"/>
    <x:tableColumn id="8" name="Conteúdo Sara"/>
    <x:tableColumn id="9" name="Publicação"/>
    <x:tableColumn id="10" name="Observaçã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eywordMapV4Table" displayName="KeywordMapV4Table" ref="A1:M28" headerRowCount="1" totalsRowCount="0" totalsRowShown="0">
  <x:tableColumns count="13">
    <x:tableColumn id="1" name="Página"/>
    <x:tableColumn id="2" name="URL"/>
    <x:tableColumn id="3" name="Keyword principal"/>
    <x:tableColumn id="4" name="Volume principal / evidência"/>
    <x:tableColumn id="5" name="KD"/>
    <x:tableColumn id="6" name="Variações semânticas prioritárias"/>
    <x:tableColumn id="7" name="Volume de variações"/>
    <x:tableColumn id="8" name="Intenção"/>
    <x:tableColumn id="9" name="Sinal local / Florianópolis"/>
    <x:tableColumn id="10" name="Geo na copy"/>
    <x:tableColumn id="11" name="Uso recomendado"/>
    <x:tableColumn id="12" name="Evitar"/>
    <x:tableColumn id="13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pySeoV4Table" displayName="CopySeoV4Table" ref="A1:J22" headerRowCount="1" totalsRowCount="0" totalsRowShown="0">
  <x:tableColumns count="10">
    <x:tableColumn id="1" name="Página"/>
    <x:tableColumn id="2" name="URL"/>
    <x:tableColumn id="3" name="H1 final"/>
    <x:tableColumn id="4" name="Subheadline / abertura recomendada"/>
    <x:tableColumn id="5" name="Title SEO"/>
    <x:tableColumn id="6" name="Meta description base"/>
    <x:tableColumn id="7" name="Termos que devem aparecer naturalmente"/>
    <x:tableColumn id="8" name="FAQ/H2 de maior intenção"/>
    <x:tableColumn id="9" name="CTA principal"/>
    <x:tableColumn id="10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logV4Table" displayName="BlogV4Table" ref="A1:L31" headerRowCount="1" totalsRowCount="0" totalsRowShown="0">
  <x:tableColumns count="12">
    <x:tableColumn id="1" name="Cluster"/>
    <x:tableColumn id="2" name="Pauta priorizada"/>
    <x:tableColumn id="3" name="Keyword/pergunta"/>
    <x:tableColumn id="4" name="Volume evidência"/>
    <x:tableColumn id="5" name="Intenção"/>
    <x:tableColumn id="6" name="Página comercial ligada"/>
    <x:tableColumn id="7" name="Papel no funil"/>
    <x:tableColumn id="8" name="Prioridade"/>
    <x:tableColumn id="9" name="Autor/Revisor"/>
    <x:tableColumn id="10" name="Evitar duplicação com"/>
    <x:tableColumn id="11" name="CTA"/>
    <x:tableColumn id="12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dsV4Table" displayName="AdsV4Table" ref="A1:K19" headerRowCount="1" totalsRowCount="0" totalsRowShown="0">
  <x:tableColumns count="11">
    <x:tableColumn id="1" name="Serviço/Página"/>
    <x:tableColumn id="2" name="URL orgânica"/>
    <x:tableColumn id="3" name="Pode indexar?"/>
    <x:tableColumn id="4" name="Usar URL orgânica em Ads?"/>
    <x:tableColumn id="5" name="Destination recomendado"/>
    <x:tableColumn id="6" name="Estratégia"/>
    <x:tableColumn id="7" name="Risco/política"/>
    <x:tableColumn id="8" name="Layout"/>
    <x:tableColumn id="9" name="Keyword Ads base"/>
    <x:tableColumn id="10" name="Antes de ativar"/>
    <x:tableColumn id="11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igrationV4Table" displayName="MigrationV4Table" ref="A1:H12" headerRowCount="1" totalsRowCount="0" totalsRowShown="0">
  <x:tableColumns count="8">
    <x:tableColumn id="1" name="URL / ativo atual"/>
    <x:tableColumn id="2" name="Destino V4"/>
    <x:tableColumn id="3" name="Resposta planejada"/>
    <x:tableColumn id="4" name="Prioridade"/>
    <x:tableColumn id="5" name="Decisão V4"/>
    <x:tableColumn id="6" name="O que falta validar"/>
    <x:tableColumn id="7" name="Quando implementar"/>
    <x:tableColumn id="8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echnicalSeoV4Table" displayName="TechnicalSeoV4Table" ref="A1:F27" headerRowCount="1" totalsRowCount="0" totalsRowShown="0">
  <x:tableColumns count="6">
    <x:tableColumn id="1" name="Bloco"/>
    <x:tableColumn id="2" name="Requisito"/>
    <x:tableColumn id="3" name="Implementação V4"/>
    <x:tableColumn id="4" name="Aceite antes do launch"/>
    <x:tableColumn id="5" name="Prioridade"/>
    <x:tableColumn id="6" name="Status Dev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anityV4Table" displayName="SanityV4Table" ref="A1:H15" headerRowCount="1" totalsRowCount="0" totalsRowShown="0">
  <x:tableColumns count="8">
    <x:tableColumn id="1" name="Schema / objeto"/>
    <x:tableColumn id="2" name="Papel"/>
    <x:tableColumn id="3" name="Campos obrigatórios"/>
    <x:tableColumn id="4" name="Blocos/arrays"/>
    <x:tableColumn id="5" name="Relações"/>
    <x:tableColumn id="6" name="Regra SEO"/>
    <x:tableColumn id="7" name="Editável pela Sara?"/>
    <x:tableColumn id="8" name="Implementação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UiAssetsV4Table" displayName="UiAssetsV4Table" ref="A1:H31" headerRowCount="1" totalsRowCount="0" totalsRowShown="0">
  <x:tableColumns count="8">
    <x:tableColumn id="1" name="Tipo"/>
    <x:tableColumn id="2" name="Página/escopo"/>
    <x:tableColumn id="3" name="Elemento / asset"/>
    <x:tableColumn id="4" name="Direção V4"/>
    <x:tableColumn id="5" name="Quantidade"/>
    <x:tableColumn id="6" name="Origem"/>
    <x:tableColumn id="7" name="Requisito performance/SEO"/>
    <x:tableColumn id="8" name="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ERankingEvidenceTable" displayName="SERankingEvidenceTable" ref="A1:J81" headerRowCount="1" totalsRowCount="0" totalsRowShown="0">
  <x:tableColumns count="10">
    <x:tableColumn id="1" name="Cluster"/>
    <x:tableColumn id="2" name="Keyword / consulta"/>
    <x:tableColumn id="3" name="Volume mensal"/>
    <x:tableColumn id="4" name="KD"/>
    <x:tableColumn id="5" name="Intent"/>
    <x:tableColumn id="6" name="SERP / sinal"/>
    <x:tableColumn id="7" name="Escopo"/>
    <x:tableColumn id="8" name="Decisão aplicada na V4"/>
    <x:tableColumn id="9" name="Fonte"/>
    <x:tableColumn id="10" name="Da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eae161a3cd478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ec69b68be424e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b2854a5b92483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7ff3902d7fc46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b5fadefaad64c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e5f385e709244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e918008b3c3402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3e40b44f8ee4e6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2b1cad824254a6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cda5baaa6f34dd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e18c76c15614fa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6d87efd2dd3f4360" /></Relationships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20" hidden="0" customWidth="1"/>
    <x:col min="3" max="3" width="20" hidden="0" customWidth="1"/>
    <x:col min="4" max="4" width="42" hidden="0" customWidth="1"/>
    <x:col min="5" max="5" width="31" hidden="0" customWidth="1"/>
    <x:col min="6" max="6" width="10" hidden="0" customWidth="1"/>
    <x:col min="7" max="7" width="27" hidden="0" customWidth="1"/>
    <x:col min="8" max="8" width="25" hidden="0" customWidth="1"/>
    <x:col min="9" max="9" width="34" hidden="0" customWidth="1"/>
    <x:col min="10" max="10" width="48" hidden="0" customWidth="1"/>
    <x:col min="11" max="11" width="22" hidden="0" customWidth="1"/>
    <x:col min="12" max="12" width="36" hidden="0" customWidth="1"/>
    <x:col min="13" max="13" width="26" hidden="0" customWidth="1"/>
    <x:col min="14" max="14" width="42" hidden="0" customWidth="1"/>
    <x:col min="15" max="15" width="48" hidden="0" customWidth="1"/>
    <x:col min="16" max="16" width="54" hidden="0" customWidth="1"/>
    <x:col min="17" max="17" width="62" hidden="0" customWidth="1"/>
    <x:col min="18" max="18" width="44" hidden="0" customWidth="1"/>
    <x:col min="19" max="19" width="16" hidden="0" customWidth="1"/>
    <x:col min="20" max="20" width="32" hidden="0" customWidth="1"/>
    <x:col min="21" max="21" width="22" hidden="0" customWidth="1"/>
    <x:col min="22" max="22" width="36" hidden="0" customWidth="1"/>
    <x:col min="23" max="23" width="48" hidden="0" customWidth="1"/>
    <x:col min="24" max="24" width="40" hidden="0" customWidth="1"/>
    <x:col min="25" max="25" width="64" hidden="0" customWidth="1"/>
    <x:col min="26" max="26" width="27" hidden="0" customWidth="1"/>
  </x:cols>
  <x:sheetData>
    <x:row r="1" ht="36" customHeight="1">
      <x:c r="A1" s="6" t="str">
        <x:v>ID</x:v>
      </x:c>
      <x:c r="B1" s="6" t="str">
        <x:v>Área</x:v>
      </x:c>
      <x:c r="C1" s="6" t="str">
        <x:v>Tipo</x:v>
      </x:c>
      <x:c r="D1" s="6" t="str">
        <x:v>Página / papel final</x:v>
      </x:c>
      <x:c r="E1" s="6" t="str">
        <x:v>URL final proposta</x:v>
      </x:c>
      <x:c r="F1" s="6" t="str">
        <x:v>Prioridade</x:v>
      </x:c>
      <x:c r="G1" s="6" t="str">
        <x:v>Status para desenvolvimento</x:v>
      </x:c>
      <x:c r="H1" s="6" t="str">
        <x:v>Status de publicação</x:v>
      </x:c>
      <x:c r="I1" s="6" t="str">
        <x:v>Keyword SEO principal</x:v>
      </x:c>
      <x:c r="J1" s="6" t="str">
        <x:v>Evidência de volume SE Ranking</x:v>
      </x:c>
      <x:c r="K1" s="6" t="str">
        <x:v>KD / dificuldade</x:v>
      </x:c>
      <x:c r="L1" s="6" t="str">
        <x:v>Sinal local</x:v>
      </x:c>
      <x:c r="M1" s="6" t="str">
        <x:v>Intenção dominante</x:v>
      </x:c>
      <x:c r="N1" s="6" t="str">
        <x:v>H1 V4</x:v>
      </x:c>
      <x:c r="O1" s="6" t="str">
        <x:v>Title SEO V4</x:v>
      </x:c>
      <x:c r="P1" s="6" t="str">
        <x:v>Direção da copy do hero</x:v>
      </x:c>
      <x:c r="Q1" s="6" t="str">
        <x:v>Seções-chave / conteúdo</x:v>
      </x:c>
      <x:c r="R1" s="6" t="str">
        <x:v>Estratégia geográfica</x:v>
      </x:c>
      <x:c r="S1" s="6" t="str">
        <x:v>Indexação</x:v>
      </x:c>
      <x:c r="T1" s="6" t="str">
        <x:v>Google Ads</x:v>
      </x:c>
      <x:c r="U1" s="6" t="str">
        <x:v>Modelo Sanity</x:v>
      </x:c>
      <x:c r="V1" s="6" t="str">
        <x:v>Fonte conteúdo Sara</x:v>
      </x:c>
      <x:c r="W1" s="6" t="str">
        <x:v>Links internos prioritários</x:v>
      </x:c>
      <x:c r="X1" s="6" t="str">
        <x:v>Assets prioritários</x:v>
      </x:c>
      <x:c r="Y1" s="6" t="str">
        <x:v>Decisão / observação</x:v>
      </x:c>
      <x:c r="Z1" s="6" t="str">
        <x:v>Fonte SEO</x:v>
      </x:c>
    </x:row>
    <x:row r="2">
      <x:c r="A2" s="14" t="n">
        <x:v>1</x:v>
      </x:c>
      <x:c r="B2" s="14" t="str">
        <x:v>Institucional</x:v>
      </x:c>
      <x:c r="C2" s="14" t="str">
        <x:v>Home</x:v>
      </x:c>
      <x:c r="D2" s="14" t="str">
        <x:v>Home / principal landing local</x:v>
      </x:c>
      <x:c r="E2" s="14" t="str">
        <x:v>/</x:v>
      </x:c>
      <x:c r="F2" s="14" t="str">
        <x:v>P0</x:v>
      </x:c>
      <x:c r="G2" s="14" t="str">
        <x:v>DESENVOLVER AGORA</x:v>
      </x:c>
      <x:c r="H2" s="14" t="str">
        <x:v>Publicar no launch</x:v>
      </x:c>
      <x:c r="I2" s="14" t="str">
        <x:v>dentista nos Ingleses</x:v>
      </x:c>
      <x:c r="J2" s="14" t="str">
        <x:v>Site atual: pos. 2 para 'dentista nos ingleses'; 'dentista Florianópolis' 120/mês</x:v>
      </x:c>
      <x:c r="K2" s="14" t="str">
        <x:v>KD 8 para 'dentista Florianópolis'</x:v>
      </x:c>
      <x:c r="L2" s="14" t="str">
        <x:v>SERP de Florianópolis mostra Local Pack e busca relacionada 'Dentista Ingleses'</x:v>
      </x:c>
      <x:c r="M2" s="14" t="str">
        <x:v>Local + Comercial</x:v>
      </x:c>
      <x:c r="N2" s="14" t="str">
        <x:v>Dentista nos Ingleses: odontologia e estética com planejamento individual</x:v>
      </x:c>
      <x:c r="O2" s="14" t="str">
        <x:v>Dentista nos Ingleses, Florianópolis | Dra. Sara Michelon</x:v>
      </x:c>
      <x:c r="P2" s="14" t="str">
        <x:v>Clínica nos Ingleses com abordagem integrada, técnica e individual; apresentar Odontologia e Estética sem transformar a Home em catálogo.</x:v>
      </x:c>
      <x:c r="Q2" s="14" t="str">
        <x:v>Hero; áreas; tratamentos prioritários; método de planejamento; equipe; clínica; prova/avaliações; localização; conteúdos; CTA</x:v>
      </x:c>
      <x:c r="R2" s="14" t="str">
        <x:v>Ingleses no H1/title; Norte da Ilha no contexto; Florianópolis em title/copy/schema; bairros apenas como área de influência.</x:v>
      </x:c>
      <x:c r="S2" s="14" t="str">
        <x:v>index</x:v>
      </x:c>
      <x:c r="T2" s="14" t="str">
        <x:v>Sim — campanhas institucionais/odontologia</x:v>
      </x:c>
      <x:c r="U2" s="14" t="str">
        <x:v>page + siteSettings</x:v>
      </x:c>
      <x:c r="V2" s="14" t="str">
        <x:v>Site atual + briefing anterior</x:v>
      </x:c>
      <x:c r="W2" s="14" t="str">
        <x:v>Odontologia; Estética Orofacial; Clínica; Contato; tratamentos P0</x:v>
      </x:c>
      <x:c r="X2" s="14" t="str">
        <x:v>Sara/clínica/fachada/equipe</x:v>
      </x:c>
      <x:c r="Y2" s="14" t="str">
        <x:v>Concentrar aqui o principal cluster local e não criar landing 'dentista em cada bairro'.</x:v>
      </x:c>
      <x:c r="Z2" s="14" t="str">
        <x:v>https://seranking.com/</x:v>
      </x:c>
    </x:row>
    <x:row r="3">
      <x:c r="A3" s="14" t="n">
        <x:v>2</x:v>
      </x:c>
      <x:c r="B3" s="14" t="str">
        <x:v>Institucional</x:v>
      </x:c>
      <x:c r="C3" s="14" t="str">
        <x:v>Hub</x:v>
      </x:c>
      <x:c r="D3" s="14" t="str">
        <x:v>Odontologia</x:v>
      </x:c>
      <x:c r="E3" s="14" t="str">
        <x:v>/odontologia</x:v>
      </x:c>
      <x:c r="F3" s="14" t="str">
        <x:v>P0</x:v>
      </x:c>
      <x:c r="G3" s="14" t="str">
        <x:v>DESENVOLVER AGORA</x:v>
      </x:c>
      <x:c r="H3" s="14" t="str">
        <x:v>Publicar no launch</x:v>
      </x:c>
      <x:c r="I3" s="14" t="str">
        <x:v>odontologia em Florianópolis</x:v>
      </x:c>
      <x:c r="J3" s="14" t="str">
        <x:v>'odontologia Florianópolis' 210/mês; 'clínica odontológica em Florianópolis' 260/mês</x:v>
      </x:c>
      <x:c r="K3" s="14" t="str">
        <x:v>KD 3 e 4</x:v>
      </x:c>
      <x:c r="L3" s="14" t="str">
        <x:v>Local Pack presente nas consultas locais</x:v>
      </x:c>
      <x:c r="M3" s="14" t="str">
        <x:v>Local + Comercial</x:v>
      </x:c>
      <x:c r="N3" s="14" t="str">
        <x:v>Tratamentos odontológicos nos Ingleses, Florianópolis</x:v>
      </x:c>
      <x:c r="O3" s="14" t="str">
        <x:v>Odontologia nos Ingleses e Florianópolis | Dra. Sara Michelon</x:v>
      </x:c>
      <x:c r="P3" s="14" t="str">
        <x:v>Organizar o cuidado por necessidades — prevenção, estética do sorriso, reabilitação, cirurgia e ortodontia.</x:v>
      </x:c>
      <x:c r="Q3" s="14" t="str">
        <x:v>Introdução; categorias; cards de tratamento; planejamento integrado; equipe; localização; CTA</x:v>
      </x:c>
      <x:c r="R3" s="14" t="str">
        <x:v>Ingleses/Norte da Ilha no bloco local; Florianópolis no title e texto introdutório.</x:v>
      </x:c>
      <x:c r="S3" s="14" t="str">
        <x:v>index</x:v>
      </x:c>
      <x:c r="T3" s="14" t="str">
        <x:v>Sim</x:v>
      </x:c>
      <x:c r="U3" s="14" t="str">
        <x:v>page</x:v>
      </x:c>
      <x:c r="V3" s="14" t="str">
        <x:v>Matriz + conteúdo clínico da Sara</x:v>
      </x:c>
      <x:c r="W3" s="14" t="str">
        <x:v>Todos os tratamentos odontológicos; Reabilitação Oral</x:v>
      </x:c>
      <x:c r="X3" s="14" t="str">
        <x:v>Clínica/equipe/tratamentos</x:v>
      </x:c>
      <x:c r="Y3" s="14" t="str">
        <x:v>Hub de distribuição, sem competir com cada procedimento.</x:v>
      </x:c>
      <x:c r="Z3" s="14" t="str">
        <x:v>https://seranking.com/</x:v>
      </x:c>
    </x:row>
    <x:row r="4">
      <x:c r="A4" s="14" t="n">
        <x:v>3</x:v>
      </x:c>
      <x:c r="B4" s="14" t="str">
        <x:v>Institucional</x:v>
      </x:c>
      <x:c r="C4" s="14" t="str">
        <x:v>Hub</x:v>
      </x:c>
      <x:c r="D4" s="14" t="str">
        <x:v>Estética Orofacial</x:v>
      </x:c>
      <x:c r="E4" s="14" t="str">
        <x:v>/estetica-orofacial</x:v>
      </x:c>
      <x:c r="F4" s="14" t="str">
        <x:v>P0</x:v>
      </x:c>
      <x:c r="G4" s="14" t="str">
        <x:v>DESENVOLVER AGORA</x:v>
      </x:c>
      <x:c r="H4" s="14" t="str">
        <x:v>Publicar no launch</x:v>
      </x:c>
      <x:c r="I4" s="14" t="str">
        <x:v>estética orofacial Florianópolis</x:v>
      </x:c>
      <x:c r="J4" s="14" t="str">
        <x:v>Sinal comercial/local vem dos clusters Harmonização, Botox, preenchimentos e bioestimuladores</x:v>
      </x:c>
      <x:c r="K4" s="14" t="str">
        <x:v>—</x:v>
      </x:c>
      <x:c r="L4" s="14" t="str">
        <x:v>Consultas dos tratamentos têm Local Pack / intenção comercial</x:v>
      </x:c>
      <x:c r="M4" s="14" t="str">
        <x:v>Comercial + Local</x:v>
      </x:c>
      <x:c r="N4" s="14" t="str">
        <x:v>Estética Orofacial com planejamento individual em Florianópolis</x:v>
      </x:c>
      <x:c r="O4" s="14" t="str">
        <x:v>Estética Orofacial em Florianópolis | Dra. Sara Michelon</x:v>
      </x:c>
      <x:c r="P4" s="14" t="str">
        <x:v>Naturalidade e planejamento antes da escolha do procedimento.</x:v>
      </x:c>
      <x:c r="Q4" s="14" t="str">
        <x:v>Abordagem; Harmonização; Preenchimentos; Botox; Bioestimuladores; Perfiloplastia; avaliação; limites; Dra. Sara; CTA</x:v>
      </x:c>
      <x:c r="R4" s="14" t="str">
        <x:v>Florianópolis como mercado; clínica localizada nos Ingleses; Norte da Ilha contextual.</x:v>
      </x:c>
      <x:c r="S4" s="14" t="str">
        <x:v>index</x:v>
      </x:c>
      <x:c r="T4" s="14" t="str">
        <x:v>Avaliar; mídia estética preferencialmente usa LP própria</x:v>
      </x:c>
      <x:c r="U4" s="14" t="str">
        <x:v>page</x:v>
      </x:c>
      <x:c r="V4" s="14" t="str">
        <x:v>DOCX Sara pp.38–44</x:v>
      </x:c>
      <x:c r="W4" s="14" t="str">
        <x:v>Harmonização; Preenchimento Facial; Labial; Botox; Bioestimuladores; Perfiloplastia</x:v>
      </x:c>
      <x:c r="X4" s="14" t="str">
        <x:v>Avaliação facial da Sara + retrato + casos autorizados</x:v>
      </x:c>
      <x:c r="Y4" s="14" t="str">
        <x:v>Não repetir termos regulados de forma promocional desnecessária na navegação global.</x:v>
      </x:c>
      <x:c r="Z4" s="14" t="str">
        <x:v>https://seranking.com/</x:v>
      </x:c>
    </x:row>
    <x:row r="5">
      <x:c r="A5" s="14" t="n">
        <x:v>4</x:v>
      </x:c>
      <x:c r="B5" s="14" t="str">
        <x:v>Institucional</x:v>
      </x:c>
      <x:c r="C5" s="14" t="str">
        <x:v>Institucional</x:v>
      </x:c>
      <x:c r="D5" s="14" t="str">
        <x:v>A Clínica</x:v>
      </x:c>
      <x:c r="E5" s="14" t="str">
        <x:v>/clinica</x:v>
      </x:c>
      <x:c r="F5" s="14" t="str">
        <x:v>P0</x:v>
      </x:c>
      <x:c r="G5" s="14" t="str">
        <x:v>DESENVOLVER AGORA</x:v>
      </x:c>
      <x:c r="H5" s="14" t="str">
        <x:v>Publicar no launch</x:v>
      </x:c>
      <x:c r="I5" s="14" t="str">
        <x:v>clínica odontológica nos Ingleses</x:v>
      </x:c>
      <x:c r="J5" s="14" t="str">
        <x:v>'clínica odontológica em Florianópolis' 260/mês</x:v>
      </x:c>
      <x:c r="K5" s="14" t="str">
        <x:v>KD 4</x:v>
      </x:c>
      <x:c r="L5" s="14" t="str">
        <x:v>Local Pack; intenção navegacional/local</x:v>
      </x:c>
      <x:c r="M5" s="14" t="str">
        <x:v>Local + Navegacional</x:v>
      </x:c>
      <x:c r="N5" s="14" t="str">
        <x:v>Clínica odontológica nos Ingleses, Norte da Ilha</x:v>
      </x:c>
      <x:c r="O5" s="14" t="str">
        <x:v>Clínica Odontológica nos Ingleses | Dra. Sara Michelon</x:v>
      </x:c>
      <x:c r="P5" s="14" t="str">
        <x:v>Estrutura, história, equipe, tecnologia e localização real.</x:v>
      </x:c>
      <x:c r="Q5" s="14" t="str">
        <x:v>História; estrutura; tecnologia; fotos; equipe; localização; como chegar; horários; CTA</x:v>
      </x:c>
      <x:c r="R5" s="14" t="str">
        <x:v>NAP idêntico ao Google Business Profile; endereço real e mapa.</x:v>
      </x:c>
      <x:c r="S5" s="14" t="str">
        <x:v>index</x:v>
      </x:c>
      <x:c r="T5" s="14" t="str">
        <x:v>Sim</x:v>
      </x:c>
      <x:c r="U5" s="14" t="str">
        <x:v>page</x:v>
      </x:c>
      <x:c r="V5" s="14" t="str">
        <x:v>Site atual + materiais da Sara</x:v>
      </x:c>
      <x:c r="W5" s="14" t="str">
        <x:v>Equipe; Contato; Home</x:v>
      </x:c>
      <x:c r="X5" s="14" t="str">
        <x:v>Galeria real/fachada/consultórios/scanner</x:v>
      </x:c>
      <x:c r="Y5" s="14" t="str">
        <x:v>Página forte para entidade local e confiança.</x:v>
      </x:c>
      <x:c r="Z5" s="14" t="str">
        <x:v>https://seranking.com/</x:v>
      </x:c>
    </x:row>
    <x:row r="6">
      <x:c r="A6" s="14" t="n">
        <x:v>5</x:v>
      </x:c>
      <x:c r="B6" s="14" t="str">
        <x:v>Institucional</x:v>
      </x:c>
      <x:c r="C6" s="14" t="str">
        <x:v>Autoridade</x:v>
      </x:c>
      <x:c r="D6" s="14" t="str">
        <x:v>Dra. Sara Michelon</x:v>
      </x:c>
      <x:c r="E6" s="14" t="str">
        <x:v>/dra-sara-michelon</x:v>
      </x:c>
      <x:c r="F6" s="14" t="str">
        <x:v>P0</x:v>
      </x:c>
      <x:c r="G6" s="14" t="str">
        <x:v>DESENVOLVER AGORA</x:v>
      </x:c>
      <x:c r="H6" s="14" t="str">
        <x:v>Publicar no launch</x:v>
      </x:c>
      <x:c r="I6" s="14" t="str">
        <x:v>Dra. Sara Michelon dentista</x:v>
      </x:c>
      <x:c r="J6" s="14" t="str">
        <x:v>Busca de marca / autoridade; não depende de volume genérico</x:v>
      </x:c>
      <x:c r="K6" s="14" t="str">
        <x:v>—</x:v>
      </x:c>
      <x:c r="L6" s="14" t="str">
        <x:v>Navegacional</x:v>
      </x:c>
      <x:c r="M6" s="14" t="str">
        <x:v>Navegacional + Confiança</x:v>
      </x:c>
      <x:c r="N6" s="14" t="str">
        <x:v>Dra. Sara Michelon</x:v>
      </x:c>
      <x:c r="O6" s="14" t="str">
        <x:v>Dra. Sara Michelon | Odontologia e Estética em Florianópolis</x:v>
      </x:c>
      <x:c r="P6" s="14" t="str">
        <x:v>Biografia profissional com formação, filosofia clínica, experiência e áreas de atuação.</x:v>
      </x:c>
      <x:c r="Q6" s="14" t="str">
        <x:v>Bio; formação; CRO; áreas; abordagem; conteúdos revisados; tratamentos; CTA</x:v>
      </x:c>
      <x:c r="R6" s="14" t="str">
        <x:v>Florianópolis/Ingleses de forma factual.</x:v>
      </x:c>
      <x:c r="S6" s="14" t="str">
        <x:v>index</x:v>
      </x:c>
      <x:c r="T6" s="14" t="str">
        <x:v>Não como landing principal</x:v>
      </x:c>
      <x:c r="U6" s="14" t="str">
        <x:v>professional</x:v>
      </x:c>
      <x:c r="V6" s="14" t="str">
        <x:v>Site atual + dados a confirmar</x:v>
      </x:c>
      <x:c r="W6" s="14" t="str">
        <x:v>Tratamentos da Sara; artigos; Equipe</x:v>
      </x:c>
      <x:c r="X6" s="14" t="str">
        <x:v>Retratos profissionais</x:v>
      </x:c>
      <x:c r="Y6" s="14" t="str">
        <x:v>Importante para E-E-A-T/YMYL.</x:v>
      </x:c>
      <x:c r="Z6" s="14" t="str">
        <x:v>https://seranking.com/</x:v>
      </x:c>
    </x:row>
    <x:row r="7">
      <x:c r="A7" s="14" t="n">
        <x:v>6</x:v>
      </x:c>
      <x:c r="B7" s="14" t="str">
        <x:v>Institucional</x:v>
      </x:c>
      <x:c r="C7" s="14" t="str">
        <x:v>Hub</x:v>
      </x:c>
      <x:c r="D7" s="14" t="str">
        <x:v>Equipe</x:v>
      </x:c>
      <x:c r="E7" s="14" t="str">
        <x:v>/equipe</x:v>
      </x:c>
      <x:c r="F7" s="14" t="str">
        <x:v>P1</x:v>
      </x:c>
      <x:c r="G7" s="14" t="str">
        <x:v>DESENVOLVER AGORA</x:v>
      </x:c>
      <x:c r="H7" s="14" t="str">
        <x:v>Publicar no launch</x:v>
      </x:c>
      <x:c r="I7" s="14" t="str">
        <x:v>dentistas em Florianópolis</x:v>
      </x:c>
      <x:c r="J7" s="14" t="str">
        <x:v>'dentistas Florianópolis' 240/mês</x:v>
      </x:c>
      <x:c r="K7" s="14" t="str">
        <x:v>KD 4</x:v>
      </x:c>
      <x:c r="L7" s="14" t="str">
        <x:v>Intenção local/comercial</x:v>
      </x:c>
      <x:c r="M7" s="14" t="str">
        <x:v>Local + Confiança</x:v>
      </x:c>
      <x:c r="N7" s="14" t="str">
        <x:v>Equipe odontológica</x:v>
      </x:c>
      <x:c r="O7" s="14" t="str">
        <x:v>Equipe de Dentistas em Florianópolis | Dra. Sara Michelon</x:v>
      </x:c>
      <x:c r="P7" s="14" t="str">
        <x:v>Especialistas conectados ao planejamento integrado.</x:v>
      </x:c>
      <x:c r="Q7" s="14" t="str">
        <x:v>Cards profissionais; especialidades; tratamentos; CTA</x:v>
      </x:c>
      <x:c r="R7" s="14" t="str">
        <x:v>Florianópolis + Ingleses no contexto.</x:v>
      </x:c>
      <x:c r="S7" s="14" t="str">
        <x:v>index</x:v>
      </x:c>
      <x:c r="T7" s="14" t="str">
        <x:v>Não</x:v>
      </x:c>
      <x:c r="U7" s="14" t="str">
        <x:v>page</x:v>
      </x:c>
      <x:c r="V7" s="14" t="str">
        <x:v>Site atual</x:v>
      </x:c>
      <x:c r="W7" s="14" t="str">
        <x:v>Perfis profissionais; tratamentos</x:v>
      </x:c>
      <x:c r="X7" s="14" t="str">
        <x:v>Retratos padronizados</x:v>
      </x:c>
      <x:c r="Y7" s="14" t="str">
        <x:v>Cada tratamento aponta para o profissional responsável.</x:v>
      </x:c>
      <x:c r="Z7" s="14" t="str">
        <x:v>https://seranking.com/</x:v>
      </x:c>
    </x:row>
    <x:row r="8">
      <x:c r="A8" s="14" t="n">
        <x:v>7</x:v>
      </x:c>
      <x:c r="B8" s="14" t="str">
        <x:v>Profissional</x:v>
      </x:c>
      <x:c r="C8" s="14" t="str">
        <x:v>Perfil</x:v>
      </x:c>
      <x:c r="D8" s="14" t="str">
        <x:v>Dra. Camila Cecchin</x:v>
      </x:c>
      <x:c r="E8" s="14" t="str">
        <x:v>/equipe/dra-camila-cecchin</x:v>
      </x:c>
      <x:c r="F8" s="14" t="str">
        <x:v>P1</x:v>
      </x:c>
      <x:c r="G8" s="14" t="str">
        <x:v>DESENVOLVER AGORA</x:v>
      </x:c>
      <x:c r="H8" s="14" t="str">
        <x:v>Publicar após credenciais finais</x:v>
      </x:c>
      <x:c r="I8" s="14" t="str">
        <x:v>implantodontista Florianópolis</x:v>
      </x:c>
      <x:c r="J8" s="14" t="str">
        <x:v>'implantodontia' 5.400/mês (BR); implantes localmente têm intenção comercial</x:v>
      </x:c>
      <x:c r="K8" s="14" t="str">
        <x:v>KD 63 (implantodontia BR)</x:v>
      </x:c>
      <x:c r="L8" s="14" t="str">
        <x:v>Implantodontia/implantes acionam Local Pack</x:v>
      </x:c>
      <x:c r="M8" s="14" t="str">
        <x:v>Local + Confiança</x:v>
      </x:c>
      <x:c r="N8" s="14" t="str">
        <x:v>Dra. Camila Cecchin — Implantodontia e Periodontia</x:v>
      </x:c>
      <x:c r="O8" s="14" t="str">
        <x:v>Dra. Camila Cecchin | Implantodontia em Florianópolis</x:v>
      </x:c>
      <x:c r="P8" s="14" t="str">
        <x:v>Autoridade clínica ligada a implantes, enxertos e periodontia.</x:v>
      </x:c>
      <x:c r="Q8" s="14" t="str">
        <x:v>Bio; CRO; especializações; tratamentos; artigos; CTA</x:v>
      </x:c>
      <x:c r="R8" s="14" t="str">
        <x:v>Florianópolis factual.</x:v>
      </x:c>
      <x:c r="S8" s="14" t="str">
        <x:v>index</x:v>
      </x:c>
      <x:c r="T8" s="14" t="str">
        <x:v>Não</x:v>
      </x:c>
      <x:c r="U8" s="14" t="str">
        <x:v>professional</x:v>
      </x:c>
      <x:c r="V8" s="14" t="str">
        <x:v>Site atual; validar credenciais</x:v>
      </x:c>
      <x:c r="W8" s="14" t="str">
        <x:v>Implantes; Prótese Protocolo; Enxerto; Periodontia; Cirurgia Gengival</x:v>
      </x:c>
      <x:c r="X8" s="14" t="str">
        <x:v>Retrato profissional</x:v>
      </x:c>
      <x:c r="Y8" s="14" t="str">
        <x:v>Validar CRO/especializações antes de publicar.</x:v>
      </x:c>
      <x:c r="Z8" s="14" t="str">
        <x:v>https://seranking.com/</x:v>
      </x:c>
    </x:row>
    <x:row r="9">
      <x:c r="A9" s="14" t="n">
        <x:v>8</x:v>
      </x:c>
      <x:c r="B9" s="14" t="str">
        <x:v>Profissional</x:v>
      </x:c>
      <x:c r="C9" s="14" t="str">
        <x:v>Perfil</x:v>
      </x:c>
      <x:c r="D9" s="14" t="str">
        <x:v>Dra. Maria Clara Paranhos Hoelscher</x:v>
      </x:c>
      <x:c r="E9" s="14" t="str">
        <x:v>/equipe/dra-maria-clara</x:v>
      </x:c>
      <x:c r="F9" s="14" t="str">
        <x:v>P1</x:v>
      </x:c>
      <x:c r="G9" s="14" t="str">
        <x:v>DESENVOLVER AGORA</x:v>
      </x:c>
      <x:c r="H9" s="14" t="str">
        <x:v>Publicar após credenciais finais</x:v>
      </x:c>
      <x:c r="I9" s="14" t="str">
        <x:v>endodontista Florianópolis</x:v>
      </x:c>
      <x:c r="J9" s="14" t="str">
        <x:v>'tratamento endodôntico' 3.100/mês (BR)</x:v>
      </x:c>
      <x:c r="K9" s="14" t="str">
        <x:v>KD 61</x:v>
      </x:c>
      <x:c r="L9" s="14" t="str">
        <x:v>'endodontia canal' apresenta Local Pack</x:v>
      </x:c>
      <x:c r="M9" s="14" t="str">
        <x:v>Local + Confiança</x:v>
      </x:c>
      <x:c r="N9" s="14" t="str">
        <x:v>Dra. Maria Clara — Endodontia</x:v>
      </x:c>
      <x:c r="O9" s="14" t="str">
        <x:v>Dra. Maria Clara | Endodontia em Florianópolis</x:v>
      </x:c>
      <x:c r="P9" s="14" t="str">
        <x:v>Especialista responsável por canal/retratamento.</x:v>
      </x:c>
      <x:c r="Q9" s="14" t="str">
        <x:v>Bio; CRO; formação; Canal; artigos; CTA</x:v>
      </x:c>
      <x:c r="R9" s="14" t="str">
        <x:v>Florianópolis factual.</x:v>
      </x:c>
      <x:c r="S9" s="14" t="str">
        <x:v>index</x:v>
      </x:c>
      <x:c r="T9" s="14" t="str">
        <x:v>Não</x:v>
      </x:c>
      <x:c r="U9" s="14" t="str">
        <x:v>professional</x:v>
      </x:c>
      <x:c r="V9" s="14" t="str">
        <x:v>Site atual; validar credenciais</x:v>
      </x:c>
      <x:c r="W9" s="14" t="str">
        <x:v>Tratamento de Canal; artigos</x:v>
      </x:c>
      <x:c r="X9" s="14" t="str">
        <x:v>Retrato profissional</x:v>
      </x:c>
      <x:c r="Y9" s="14" t="str">
        <x:v>Vincular revisão dos conteúdos de Endodontia.</x:v>
      </x:c>
      <x:c r="Z9" s="14" t="str">
        <x:v>https://seranking.com/</x:v>
      </x:c>
    </x:row>
    <x:row r="10">
      <x:c r="A10" s="14" t="n">
        <x:v>9</x:v>
      </x:c>
      <x:c r="B10" s="14" t="str">
        <x:v>Profissional</x:v>
      </x:c>
      <x:c r="C10" s="14" t="str">
        <x:v>Perfil</x:v>
      </x:c>
      <x:c r="D10" s="14" t="str">
        <x:v>Dr. Ericson Pessanha</x:v>
      </x:c>
      <x:c r="E10" s="14" t="str">
        <x:v>/equipe/dr-ericson-pessanha</x:v>
      </x:c>
      <x:c r="F10" s="14" t="str">
        <x:v>P1</x:v>
      </x:c>
      <x:c r="G10" s="14" t="str">
        <x:v>DESENVOLVER AGORA</x:v>
      </x:c>
      <x:c r="H10" s="14" t="str">
        <x:v>Publicar após credenciais finais</x:v>
      </x:c>
      <x:c r="I10" s="14" t="str">
        <x:v>periodontista Florianópolis</x:v>
      </x:c>
      <x:c r="J10" s="14" t="str">
        <x:v>'dentista periodontista' 590/mês; 'especialista em gengiva' 390/mês (BR)</x:v>
      </x:c>
      <x:c r="K10" s="14" t="str">
        <x:v>KD 3–4</x:v>
      </x:c>
      <x:c r="L10" s="14" t="str">
        <x:v>Variações apresentam Local Pack</x:v>
      </x:c>
      <x:c r="M10" s="14" t="str">
        <x:v>Local + Confiança</x:v>
      </x:c>
      <x:c r="N10" s="14" t="str">
        <x:v>Dr. Ericson Pessanha — Periodontia e Cirurgia Oral</x:v>
      </x:c>
      <x:c r="O10" s="14" t="str">
        <x:v>Dr. Ericson Pessanha | Periodontia em Florianópolis</x:v>
      </x:c>
      <x:c r="P10" s="14" t="str">
        <x:v>Autoridade clínica para gengiva, cirurgia oral, siso e bichectomia conforme escopo confirmado.</x:v>
      </x:c>
      <x:c r="Q10" s="14" t="str">
        <x:v>Bio; CRO; especializações; tratamentos; artigos; CTA</x:v>
      </x:c>
      <x:c r="R10" s="14" t="str">
        <x:v>Florianópolis factual.</x:v>
      </x:c>
      <x:c r="S10" s="14" t="str">
        <x:v>index</x:v>
      </x:c>
      <x:c r="T10" s="14" t="str">
        <x:v>Não</x:v>
      </x:c>
      <x:c r="U10" s="14" t="str">
        <x:v>professional</x:v>
      </x:c>
      <x:c r="V10" s="14" t="str">
        <x:v>Site atual; validar credenciais</x:v>
      </x:c>
      <x:c r="W10" s="14" t="str">
        <x:v>Periodontia; Cirurgia Gengival; Siso; Bichectomia</x:v>
      </x:c>
      <x:c r="X10" s="14" t="str">
        <x:v>Retrato profissional</x:v>
      </x:c>
      <x:c r="Y10" s="14" t="str">
        <x:v>Validar escopo final antes da publicação.</x:v>
      </x:c>
      <x:c r="Z10" s="14" t="str">
        <x:v>https://seranking.com/</x:v>
      </x:c>
    </x:row>
    <x:row r="11">
      <x:c r="A11" s="14" t="n">
        <x:v>10</x:v>
      </x:c>
      <x:c r="B11" s="14" t="str">
        <x:v>Conteúdo</x:v>
      </x:c>
      <x:c r="C11" s="14" t="str">
        <x:v>Hub</x:v>
      </x:c>
      <x:c r="D11" s="14" t="str">
        <x:v>Conteúdos e Orientações</x:v>
      </x:c>
      <x:c r="E11" s="14" t="str">
        <x:v>/conteudos</x:v>
      </x:c>
      <x:c r="F11" s="14" t="str">
        <x:v>P1</x:v>
      </x:c>
      <x:c r="G11" s="14" t="str">
        <x:v>DESENVOLVER AGORA</x:v>
      </x:c>
      <x:c r="H11" s="14" t="str">
        <x:v>Publicar no launch</x:v>
      </x:c>
      <x:c r="I11" s="14" t="str">
        <x:v>conteúdos odontológicos</x:v>
      </x:c>
      <x:c r="J11" s="14" t="str">
        <x:v>Objetivo é autoridade temática; não uma keyword única</x:v>
      </x:c>
      <x:c r="K11" s="14" t="str">
        <x:v>—</x:v>
      </x:c>
      <x:c r="L11" s="14" t="str">
        <x:v>Informacional</x:v>
      </x:c>
      <x:c r="M11" s="14" t="str">
        <x:v>Informacional</x:v>
      </x:c>
      <x:c r="N11" s="14" t="str">
        <x:v>Conteúdos sobre odontologia, prevenção e estética</x:v>
      </x:c>
      <x:c r="O11" s="14" t="str">
        <x:v>Conteúdos sobre Odontologia e Estética | Dra. Sara Michelon</x:v>
      </x:c>
      <x:c r="P11" s="14" t="str">
        <x:v>Respostas clínicas úteis escritas/revisadas pela equipe.</x:v>
      </x:c>
      <x:c r="Q11" s="14" t="str">
        <x:v>Destaques; clusters; artigos recentes; autores/revisores; CTA contextual</x:v>
      </x:c>
      <x:c r="R11" s="14" t="str">
        <x:v>Localidade só quando assunto tiver intenção local.</x:v>
      </x:c>
      <x:c r="S11" s="14" t="str">
        <x:v>index</x:v>
      </x:c>
      <x:c r="T11" s="14" t="str">
        <x:v>Não</x:v>
      </x:c>
      <x:c r="U11" s="14" t="str">
        <x:v>page</x:v>
      </x:c>
      <x:c r="V11" s="14" t="str">
        <x:v>Matriz + conteúdos futuros</x:v>
      </x:c>
      <x:c r="W11" s="14" t="str">
        <x:v>Artigos; tratamentos; profissionais</x:v>
      </x:c>
      <x:c r="X11" s="14" t="str">
        <x:v>Capas editoriais</x:v>
      </x:c>
      <x:c r="Y11" s="14" t="str">
        <x:v>Categorias só indexar com massa crítica.</x:v>
      </x:c>
      <x:c r="Z11" s="14" t="str">
        <x:v>https://seranking.com/</x:v>
      </x:c>
    </x:row>
    <x:row r="12">
      <x:c r="A12" s="14" t="n">
        <x:v>11</x:v>
      </x:c>
      <x:c r="B12" s="14" t="str">
        <x:v>Institucional</x:v>
      </x:c>
      <x:c r="C12" s="14" t="str">
        <x:v>Conversão</x:v>
      </x:c>
      <x:c r="D12" s="14" t="str">
        <x:v>Contato e Localização</x:v>
      </x:c>
      <x:c r="E12" s="14" t="str">
        <x:v>/contato</x:v>
      </x:c>
      <x:c r="F12" s="14" t="str">
        <x:v>P0</x:v>
      </x:c>
      <x:c r="G12" s="14" t="str">
        <x:v>DESENVOLVER AGORA</x:v>
      </x:c>
      <x:c r="H12" s="14" t="str">
        <x:v>Publicar no launch</x:v>
      </x:c>
      <x:c r="I12" s="14" t="str">
        <x:v>dentista Ingleses endereço</x:v>
      </x:c>
      <x:c r="J12" s="14" t="str">
        <x:v>Local / marca</x:v>
      </x:c>
      <x:c r="K12" s="14" t="str">
        <x:v>—</x:v>
      </x:c>
      <x:c r="L12" s="14" t="str">
        <x:v>Local Pack e navegação</x:v>
      </x:c>
      <x:c r="M12" s="14" t="str">
        <x:v>Local + Navegacional</x:v>
      </x:c>
      <x:c r="N12" s="14" t="str">
        <x:v>Contato e localização da clínica nos Ingleses</x:v>
      </x:c>
      <x:c r="O12" s="14" t="str">
        <x:v>Contato e Localização | Dra. Sara Michelon — Ingleses</x:v>
      </x:c>
      <x:c r="P12" s="14" t="str">
        <x:v>Facilitar WhatsApp, ligação e rota.</x:v>
      </x:c>
      <x:c r="Q12" s="14" t="str">
        <x:v>Mapa; endereço; horários; WhatsApp; telefone; estacionamento/acesso; CTA</x:v>
      </x:c>
      <x:c r="R12" s="14" t="str">
        <x:v>NAP exato + Ingleses + Florianópolis.</x:v>
      </x:c>
      <x:c r="S12" s="14" t="str">
        <x:v>index</x:v>
      </x:c>
      <x:c r="T12" s="14" t="str">
        <x:v>Sim</x:v>
      </x:c>
      <x:c r="U12" s="14" t="str">
        <x:v>page</x:v>
      </x:c>
      <x:c r="V12" s="14" t="str">
        <x:v>Dados oficiais a confirmar</x:v>
      </x:c>
      <x:c r="W12" s="14" t="str">
        <x:v>Home; Clínica</x:v>
      </x:c>
      <x:c r="X12" s="14" t="str">
        <x:v>Fachada + mapa</x:v>
      </x:c>
      <x:c r="Y12" s="14" t="str">
        <x:v>Tracking forte em WhatsApp/telefone/rota.</x:v>
      </x:c>
      <x:c r="Z12" s="14" t="str">
        <x:v>https://seranking.com/</x:v>
      </x:c>
    </x:row>
    <x:row r="13">
      <x:c r="A13" s="14" t="n">
        <x:v>12</x:v>
      </x:c>
      <x:c r="B13" s="14" t="str">
        <x:v>Mídia</x:v>
      </x:c>
      <x:c r="C13" s="14" t="str">
        <x:v>Landing Ads</x:v>
      </x:c>
      <x:c r="D13" s="14" t="str">
        <x:v>Avaliação Estética Facial</x:v>
      </x:c>
      <x:c r="E13" s="14" t="str">
        <x:v>/avaliacao-estetica-facial</x:v>
      </x:c>
      <x:c r="F13" s="14" t="str">
        <x:v>P0</x:v>
      </x:c>
      <x:c r="G13" s="14" t="str">
        <x:v>DESENVOLVER AGORA</x:v>
      </x:c>
      <x:c r="H13" s="14" t="str">
        <x:v>Publicar tecnicamente; noindex</x:v>
      </x:c>
      <x:c r="I13" s="14" t="str">
        <x:v>avaliação estética facial</x:v>
      </x:c>
      <x:c r="J13" s="14" t="str">
        <x:v>Página pensada para mídia; não depende de ranking orgânico</x:v>
      </x:c>
      <x:c r="K13" s="14" t="str">
        <x:v>—</x:v>
      </x:c>
      <x:c r="L13" s="14" t="str">
        <x:v>Comercial</x:v>
      </x:c>
      <x:c r="M13" s="14" t="str">
        <x:v>Comercial</x:v>
      </x:c>
      <x:c r="N13" s="14" t="str">
        <x:v>Avaliação estética facial personalizada</x:v>
      </x:c>
      <x:c r="O13" s="14" t="str">
        <x:v>Avaliação Estética Facial em Florianópolis | Dra. Sara Michelon</x:v>
      </x:c>
      <x:c r="P13" s="14" t="str">
        <x:v>Análise facial, naturalidade e indicação individual — sem catálogo promocional de termos regulados.</x:v>
      </x:c>
      <x:c r="Q13" s="14" t="str">
        <x:v>Hero; como funciona avaliação; abordagem; Dra. Sara; clínica; FAQ; CTA; localização</x:v>
      </x:c>
      <x:c r="R13" s="14" t="str">
        <x:v>Florianópolis + clínica nos Ingleses.</x:v>
      </x:c>
      <x:c r="S13" s="14" t="str">
        <x:v>noindex, follow</x:v>
      </x:c>
      <x:c r="T13" s="14" t="str">
        <x:v>SIM — destination principal de estética</x:v>
      </x:c>
      <x:c r="U13" s="14" t="str">
        <x:v>landingPage</x:v>
      </x:c>
      <x:c r="V13" s="14" t="str">
        <x:v>Derivado do DOCX Sara pp.38–44</x:v>
      </x:c>
      <x:c r="W13" s="14" t="str">
        <x:v>Clínica; Contato (navegação simplificada)</x:v>
      </x:c>
      <x:c r="X13" s="14" t="str">
        <x:v>Sara avaliando paciente + clínica</x:v>
      </x:c>
      <x:c r="Y13" s="14" t="str">
        <x:v>AdsBot e usuário recebem exatamente a mesma página; sem cloaking.</x:v>
      </x:c>
      <x:c r="Z13" s="14" t="str">
        <x:v>https://seranking.com/</x:v>
      </x:c>
    </x:row>
    <x:row r="14">
      <x:c r="A14" s="14" t="n">
        <x:v>13</x:v>
      </x:c>
      <x:c r="B14" s="14" t="str">
        <x:v>Estética Orofacial</x:v>
      </x:c>
      <x:c r="C14" s="14" t="str">
        <x:v>Hub/Tratamento</x:v>
      </x:c>
      <x:c r="D14" s="14" t="str">
        <x:v>Harmonização Facial</x:v>
      </x:c>
      <x:c r="E14" s="14" t="str">
        <x:v>/harmonizacao-facial</x:v>
      </x:c>
      <x:c r="F14" s="14" t="str">
        <x:v>P0</x:v>
      </x:c>
      <x:c r="G14" s="14" t="str">
        <x:v>DESENVOLVER AGORA</x:v>
      </x:c>
      <x:c r="H14" s="14" t="str">
        <x:v>Publicar no launch</x:v>
      </x:c>
      <x:c r="I14" s="14" t="str">
        <x:v>harmonização facial</x:v>
      </x:c>
      <x:c r="J14" s="14" t="str">
        <x:v>~12.100/mês para variação principal (BR); 'harmonização facial natural' 390/mês</x:v>
      </x:c>
      <x:c r="K14" s="14" t="str">
        <x:v>—</x:v>
      </x:c>
      <x:c r="L14" s="14" t="str">
        <x:v>'harmonização facial natural' apresenta intenção L/C + Local Pack</x:v>
      </x:c>
      <x:c r="M14" s="14" t="str">
        <x:v>Comercial + Informacional</x:v>
      </x:c>
      <x:c r="N14" s="14" t="str">
        <x:v>Harmonização Facial: planejamento da face como um conjunto</x:v>
      </x:c>
      <x:c r="O14" s="14" t="str">
        <x:v>Harmonização Facial em Florianópolis | Planejamento Natural</x:v>
      </x:c>
      <x:c r="P14" s="14" t="str">
        <x:v>A análise da face vem antes da escolha do procedimento.</x:v>
      </x:c>
      <x:c r="Q14" s="14" t="str">
        <x:v>Análise; etapas; Full Face; preenchimentos; toxina; bioestimuladores; limites; FAQ; CTA</x:v>
      </x:c>
      <x:c r="R14" s="14" t="str">
        <x:v>Florianópolis no title; Ingleses no bloco de clínica.</x:v>
      </x:c>
      <x:c r="S14" s="14" t="str">
        <x:v>index</x:v>
      </x:c>
      <x:c r="T14" s="14" t="str">
        <x:v>Não usar automaticamente; preferir /avaliacao-estetica-facial</x:v>
      </x:c>
      <x:c r="U14" s="14" t="str">
        <x:v>treatment</x:v>
      </x:c>
      <x:c r="V14" s="14" t="str">
        <x:v>DOCX Sara pp.38–44</x:v>
      </x:c>
      <x:c r="W14" s="14" t="str">
        <x:v>Preenchimento Facial; Labial; Botox; Bioestimuladores; Perfiloplastia</x:v>
      </x:c>
      <x:c r="X14" s="14" t="str">
        <x:v>Avaliação facial + casos próprios</x:v>
      </x:c>
      <x:c r="Y14" s="14" t="str">
        <x:v>Full Face é conceito/seção, não URL própria.</x:v>
      </x:c>
      <x:c r="Z14" s="14" t="str">
        <x:v>https://seranking.com/</x:v>
      </x:c>
    </x:row>
    <x:row r="15">
      <x:c r="A15" s="14" t="n">
        <x:v>14</x:v>
      </x:c>
      <x:c r="B15" s="14" t="str">
        <x:v>Estética Orofacial</x:v>
      </x:c>
      <x:c r="C15" s="14" t="str">
        <x:v>Tratamento</x:v>
      </x:c>
      <x:c r="D15" s="14" t="str">
        <x:v>Preenchimento Facial</x:v>
      </x:c>
      <x:c r="E15" s="14" t="str">
        <x:v>/preenchimento-facial</x:v>
      </x:c>
      <x:c r="F15" s="14" t="str">
        <x:v>P0</x:v>
      </x:c>
      <x:c r="G15" s="14" t="str">
        <x:v>DESENVOLVER AGORA</x:v>
      </x:c>
      <x:c r="H15" s="14" t="str">
        <x:v>Publicar no launch</x:v>
      </x:c>
      <x:c r="I15" s="14" t="str">
        <x:v>preenchimento facial com ácido hialurônico</x:v>
      </x:c>
      <x:c r="J15" s="14" t="str">
        <x:v>320/mês nessa variação; 'preenchimento no rosto' 480/mês; 'preenchimento' 12.100/mês (BR)</x:v>
      </x:c>
      <x:c r="K15" s="14" t="str">
        <x:v>KD 16 / 14 / 63</x:v>
      </x:c>
      <x:c r="L15" s="14" t="str">
        <x:v>Consulta ampla 'harmonização' tem sinal L/C; tratamento é claramente comercial</x:v>
      </x:c>
      <x:c r="M15" s="14" t="str">
        <x:v>Comercial + Informacional</x:v>
      </x:c>
      <x:c r="N15" s="14" t="str">
        <x:v>Preenchimento Facial com Ácido Hialurônico</x:v>
      </x:c>
      <x:c r="O15" s="14" t="str">
        <x:v>Preenchimento Facial em Florianópolis | Ácido Hialurônico</x:v>
      </x:c>
      <x:c r="P15" s="14" t="str">
        <x:v>Reposição de volume, suporte e definição de contornos conforme a anatomia e o planejamento.</x:v>
      </x:c>
      <x:c r="Q15" s="14" t="str">
        <x:v>O que é; regiões; indicação; planejamento; duração; FAQ; relação com Harmonização; CTA</x:v>
      </x:c>
      <x:c r="R15" s="14" t="str">
        <x:v>Florianópolis no title; Ingleses no bloco local.</x:v>
      </x:c>
      <x:c r="S15" s="14" t="str">
        <x:v>index</x:v>
      </x:c>
      <x:c r="T15" s="14" t="str">
        <x:v>Avaliar; mídia estética preferencialmente LP dedicada</x:v>
      </x:c>
      <x:c r="U15" s="14" t="str">
        <x:v>treatment</x:v>
      </x:c>
      <x:c r="V15" s="14" t="str">
        <x:v>DOCX Sara pp.40–43</x:v>
      </x:c>
      <x:c r="W15" s="14" t="str">
        <x:v>Harmonização; Labial; Perfiloplastia; Avaliação Estética</x:v>
      </x:c>
      <x:c r="X15" s="14" t="str">
        <x:v>Caso próprio/avaliação/face natural</x:v>
      </x:c>
      <x:c r="Y15" s="14" t="str">
        <x:v>'Contorno e equilíbrio facial' vira linguagem de copy/card, não página SEO separada.</x:v>
      </x:c>
      <x:c r="Z15" s="14" t="str">
        <x:v>https://seranking.com/</x:v>
      </x:c>
    </x:row>
    <x:row r="16">
      <x:c r="A16" s="14" t="n">
        <x:v>15</x:v>
      </x:c>
      <x:c r="B16" s="14" t="str">
        <x:v>Estética Orofacial</x:v>
      </x:c>
      <x:c r="C16" s="14" t="str">
        <x:v>Tratamento</x:v>
      </x:c>
      <x:c r="D16" s="14" t="str">
        <x:v>Preenchimento Labial</x:v>
      </x:c>
      <x:c r="E16" s="14" t="str">
        <x:v>/preenchimento-labial</x:v>
      </x:c>
      <x:c r="F16" s="14" t="str">
        <x:v>P0</x:v>
      </x:c>
      <x:c r="G16" s="14" t="str">
        <x:v>DESENVOLVER AGORA</x:v>
      </x:c>
      <x:c r="H16" s="14" t="str">
        <x:v>Publicar no launch</x:v>
      </x:c>
      <x:c r="I16" s="14" t="str">
        <x:v>preenchimento labial</x:v>
      </x:c>
      <x:c r="J16" s="14" t="str">
        <x:v>1.900/mês 'quanto tempo dura'; 1.800/mês 'preenchimento labial valor' (BR)</x:v>
      </x:c>
      <x:c r="K16" s="14" t="str">
        <x:v>—</x:v>
      </x:c>
      <x:c r="L16" s="14" t="str">
        <x:v>Intenção comercial evidente nas variações de valor/procedimento</x:v>
      </x:c>
      <x:c r="M16" s="14" t="str">
        <x:v>Comercial + Informacional</x:v>
      </x:c>
      <x:c r="N16" s="14" t="str">
        <x:v>Preenchimento Labial com planejamento individual</x:v>
      </x:c>
      <x:c r="O16" s="14" t="str">
        <x:v>Preenchimento Labial em Florianópolis | Dra. Sara Michelon</x:v>
      </x:c>
      <x:c r="P16" s="14" t="str">
        <x:v>Contorno, proporção, projeção e reposição de volume — não simplesmente aumentar os lábios.</x:v>
      </x:c>
      <x:c r="Q16" s="14" t="str">
        <x:v>Indicações; relação com face/perfil; como é feito; duração; cuidados; FAQ; CTA</x:v>
      </x:c>
      <x:c r="R16" s="14" t="str">
        <x:v>Florianópolis + Ingleses no bloco local.</x:v>
      </x:c>
      <x:c r="S16" s="14" t="str">
        <x:v>index</x:v>
      </x:c>
      <x:c r="T16" s="14" t="str">
        <x:v>Avaliar; preferir LP dedicada</x:v>
      </x:c>
      <x:c r="U16" s="14" t="str">
        <x:v>treatment</x:v>
      </x:c>
      <x:c r="V16" s="14" t="str">
        <x:v>DOCX Sara pp.40–43</x:v>
      </x:c>
      <x:c r="W16" s="14" t="str">
        <x:v>Preenchimento Facial; Perfiloplastia; Harmonização</x:v>
      </x:c>
      <x:c r="X16" s="14" t="str">
        <x:v>Caso clínico próprio autorizado</x:v>
      </x:c>
      <x:c r="Y16" s="14" t="str">
        <x:v>Página própria justificada por intenção específica.</x:v>
      </x:c>
      <x:c r="Z16" s="14" t="str">
        <x:v>https://seranking.com/</x:v>
      </x:c>
    </x:row>
    <x:row r="17">
      <x:c r="A17" s="14" t="n">
        <x:v>16</x:v>
      </x:c>
      <x:c r="B17" s="14" t="str">
        <x:v>Estética Orofacial</x:v>
      </x:c>
      <x:c r="C17" s="14" t="str">
        <x:v>Tratamento</x:v>
      </x:c>
      <x:c r="D17" s="14" t="str">
        <x:v>Toxina Botulínica (Botox) / Linhas de Expressão</x:v>
      </x:c>
      <x:c r="E17" s="14" t="str">
        <x:v>/botox</x:v>
      </x:c>
      <x:c r="F17" s="14" t="str">
        <x:v>P0</x:v>
      </x:c>
      <x:c r="G17" s="14" t="str">
        <x:v>DESENVOLVER AGORA</x:v>
      </x:c>
      <x:c r="H17" s="14" t="str">
        <x:v>Publicar no launch</x:v>
      </x:c>
      <x:c r="I17" s="14" t="str">
        <x:v>botox no rosto</x:v>
      </x:c>
      <x:c r="J17" s="14" t="str">
        <x:v>14.800/mês; 'botox facial' 1.900/mês; 'toxina botulínica' 33.100/mês (BR)</x:v>
      </x:c>
      <x:c r="K17" s="14" t="str">
        <x:v>KD 68 / 69 / 87</x:v>
      </x:c>
      <x:c r="L17" s="14" t="str">
        <x:v>'botox no rosto' e 'botox facial' apresentam Local Pack / L+C</x:v>
      </x:c>
      <x:c r="M17" s="14" t="str">
        <x:v>Local + Comercial + Informacional</x:v>
      </x:c>
      <x:c r="N17" s="14" t="str">
        <x:v>Toxina Botulínica (Botox) para Linhas de Expressão</x:v>
      </x:c>
      <x:c r="O17" s="14" t="str">
        <x:v>Botox em Florianópolis | Toxina Botulínica e Linhas de Expressão</x:v>
      </x:c>
      <x:c r="P17" s="14" t="str">
        <x:v>Suavização de rugas dinâmicas com avaliação individual da anatomia e movimentação facial.</x:v>
      </x:c>
      <x:c r="Q17" s="14" t="str">
        <x:v>O que é; rugas dinâmicas; avaliação; áreas/músculos sem promessa; duração; cuidados; FAQ; CTA</x:v>
      </x:c>
      <x:c r="R17" s="14" t="str">
        <x:v>Florianópolis no SEO; clínica nos Ingleses no bloco local.</x:v>
      </x:c>
      <x:c r="S17" s="14" t="str">
        <x:v>index</x:v>
      </x:c>
      <x:c r="T17" s="14" t="str">
        <x:v>NÃO usar como destination Google Ads</x:v>
      </x:c>
      <x:c r="U17" s="14" t="str">
        <x:v>treatment</x:v>
      </x:c>
      <x:c r="V17" s="14" t="str">
        <x:v>DOCX Sara pp.41–42</x:v>
      </x:c>
      <x:c r="W17" s="14" t="str">
        <x:v>Harmonização; Avaliação Estética</x:v>
      </x:c>
      <x:c r="X17" s="14" t="str">
        <x:v>Sara/face natural/consulta</x:v>
      </x:c>
      <x:c r="Y17" s="14" t="str">
        <x:v>Consolida Botox + Suavização das Linhas de Expressão. SEO orgânico separado da estratégia Ads.</x:v>
      </x:c>
      <x:c r="Z17" s="14" t="str">
        <x:v>https://seranking.com/</x:v>
      </x:c>
    </x:row>
    <x:row r="18">
      <x:c r="A18" s="14" t="n">
        <x:v>17</x:v>
      </x:c>
      <x:c r="B18" s="14" t="str">
        <x:v>Estética Orofacial</x:v>
      </x:c>
      <x:c r="C18" s="14" t="str">
        <x:v>Tratamento</x:v>
      </x:c>
      <x:c r="D18" s="14" t="str">
        <x:v>Bioestimuladores de Colágeno</x:v>
      </x:c>
      <x:c r="E18" s="14" t="str">
        <x:v>/bioestimuladores-de-colageno</x:v>
      </x:c>
      <x:c r="F18" s="14" t="str">
        <x:v>P0</x:v>
      </x:c>
      <x:c r="G18" s="14" t="str">
        <x:v>DESENVOLVER AGORA</x:v>
      </x:c>
      <x:c r="H18" s="14" t="str">
        <x:v>Publicar no launch</x:v>
      </x:c>
      <x:c r="I18" s="14" t="str">
        <x:v>bioestimulador de colágeno</x:v>
      </x:c>
      <x:c r="J18" s="14" t="str">
        <x:v>18.100/mês; 'bioestimulador' 12.100; 'bioestimulador de colágeno no rosto' 3.200 (BR)</x:v>
      </x:c>
      <x:c r="K18" s="14" t="str">
        <x:v>KD 63 / 48 / 50</x:v>
      </x:c>
      <x:c r="L18" s="14" t="str">
        <x:v>Principalmente informacional, com forte intenção de procedimento nas variações de valor/sessão</x:v>
      </x:c>
      <x:c r="M18" s="14" t="str">
        <x:v>Informacional + Comercial</x:v>
      </x:c>
      <x:c r="N18" s="14" t="str">
        <x:v>Bioestimulador de Colágeno para o Rosto</x:v>
      </x:c>
      <x:c r="O18" s="14" t="str">
        <x:v>Bioestimulador de Colágeno em Florianópolis | Dra. Sara</x:v>
      </x:c>
      <x:c r="P18" s="14" t="str">
        <x:v>Melhora progressiva de características relacionadas à qualidade e firmeza da pele, conforme indicação.</x:v>
      </x:c>
      <x:c r="Q18" s="14" t="str">
        <x:v>O que são; para que servem; planejamento; sessões; quando aparecem efeitos; duração; FAQ; CTA</x:v>
      </x:c>
      <x:c r="R18" s="14" t="str">
        <x:v>Florianópolis no title; Ingleses no bloco local.</x:v>
      </x:c>
      <x:c r="S18" s="14" t="str">
        <x:v>index</x:v>
      </x:c>
      <x:c r="T18" s="14" t="str">
        <x:v>Avaliar; preferir LP estética</x:v>
      </x:c>
      <x:c r="U18" s="14" t="str">
        <x:v>treatment</x:v>
      </x:c>
      <x:c r="V18" s="14" t="str">
        <x:v>DOCX Sara pp.42–44</x:v>
      </x:c>
      <x:c r="W18" s="14" t="str">
        <x:v>Harmonização; Avaliação Estética</x:v>
      </x:c>
      <x:c r="X18" s="14" t="str">
        <x:v>Face/pele natural + caso próprio</x:v>
      </x:c>
      <x:c r="Y18" s="14" t="str">
        <x:v>Forte demanda nacional justifica página própria.</x:v>
      </x:c>
      <x:c r="Z18" s="14" t="str">
        <x:v>https://seranking.com/</x:v>
      </x:c>
    </x:row>
    <x:row r="19">
      <x:c r="A19" s="14" t="n">
        <x:v>18</x:v>
      </x:c>
      <x:c r="B19" s="14" t="str">
        <x:v>Estética Orofacial</x:v>
      </x:c>
      <x:c r="C19" s="14" t="str">
        <x:v>Tratamento</x:v>
      </x:c>
      <x:c r="D19" s="14" t="str">
        <x:v>Perfiloplastia</x:v>
      </x:c>
      <x:c r="E19" s="14" t="str">
        <x:v>/perfiloplastia</x:v>
      </x:c>
      <x:c r="F19" s="14" t="str">
        <x:v>P1</x:v>
      </x:c>
      <x:c r="G19" s="14" t="str">
        <x:v>DESENVOLVER AGORA</x:v>
      </x:c>
      <x:c r="H19" s="14" t="str">
        <x:v>Publicar se conteúdo final aprovado</x:v>
      </x:c>
      <x:c r="I19" s="14" t="str">
        <x:v>perfiloplastia</x:v>
      </x:c>
      <x:c r="J19" s="14" t="str">
        <x:v>390/mês 'perfiloplastia o que é'; 320 antes/depois; 210 preço; 210 com ácido hialurônico</x:v>
      </x:c>
      <x:c r="K19" s="14" t="str">
        <x:v>KD 4–7</x:v>
      </x:c>
      <x:c r="L19" s="14" t="str">
        <x:v>'perfiloplastia harmonização' apresenta L/C + Local Pack</x:v>
      </x:c>
      <x:c r="M19" s="14" t="str">
        <x:v>Informacional + Comercial</x:v>
      </x:c>
      <x:c r="N19" s="14" t="str">
        <x:v>Perfiloplastia: equilíbrio entre nariz, lábios e mento</x:v>
      </x:c>
      <x:c r="O19" s="14" t="str">
        <x:v>Perfiloplastia em Florianópolis | Harmonização do Perfil</x:v>
      </x:c>
      <x:c r="P19" s="14" t="str">
        <x:v>Avaliar relações do perfil e indicar intervenções pontuais conforme anatomia.</x:v>
      </x:c>
      <x:c r="Q19" s="14" t="str">
        <x:v>O que é; estruturas; planejamento; possibilidades; limites; FAQ; CTA</x:v>
      </x:c>
      <x:c r="R19" s="14" t="str">
        <x:v>Florianópolis no SEO.</x:v>
      </x:c>
      <x:c r="S19" s="14" t="str">
        <x:v>index</x:v>
      </x:c>
      <x:c r="T19" s="14" t="str">
        <x:v>Avaliar</x:v>
      </x:c>
      <x:c r="U19" s="14" t="str">
        <x:v>treatment</x:v>
      </x:c>
      <x:c r="V19" s="14" t="str">
        <x:v>DOCX Sara pp.41–42</x:v>
      </x:c>
      <x:c r="W19" s="14" t="str">
        <x:v>Harmonização; Preenchimento Facial/Labial</x:v>
      </x:c>
      <x:c r="X19" s="14" t="str">
        <x:v>Perfil lateral/caso autorizado</x:v>
      </x:c>
      <x:c r="Y19" s="14" t="str">
        <x:v>Menor volume, mas intenção distinta e conteúdo explícito da Sara justificam página P1.</x:v>
      </x:c>
      <x:c r="Z19" s="14" t="str">
        <x:v>https://seranking.com/</x:v>
      </x:c>
    </x:row>
    <x:row r="20">
      <x:c r="A20" s="14" t="n">
        <x:v>19</x:v>
      </x:c>
      <x:c r="B20" s="14" t="str">
        <x:v>Odontologia Estética</x:v>
      </x:c>
      <x:c r="C20" s="14" t="str">
        <x:v>Tratamento</x:v>
      </x:c>
      <x:c r="D20" s="14" t="str">
        <x:v>Facetas de Resina e Lentes em Resina</x:v>
      </x:c>
      <x:c r="E20" s="14" t="str">
        <x:v>/facetas-de-resina</x:v>
      </x:c>
      <x:c r="F20" s="14" t="str">
        <x:v>P0</x:v>
      </x:c>
      <x:c r="G20" s="14" t="str">
        <x:v>DESENVOLVER AGORA</x:v>
      </x:c>
      <x:c r="H20" s="14" t="str">
        <x:v>Publicar no launch</x:v>
      </x:c>
      <x:c r="I20" s="14" t="str">
        <x:v>faceta de resina</x:v>
      </x:c>
      <x:c r="J20" s="14" t="str">
        <x:v>47.500/mês; 'facetas de resina' 27.100; 'lente de resina' 12.100; 'lentes em resina' 1.900 (BR)</x:v>
      </x:c>
      <x:c r="K20" s="14" t="str">
        <x:v>KD 59 / 59 / 71 / 66</x:v>
      </x:c>
      <x:c r="L20" s="14" t="str">
        <x:v>'lentes em resina' tem L/C + Local Pack</x:v>
      </x:c>
      <x:c r="M20" s="14" t="str">
        <x:v>Informacional + Comercial</x:v>
      </x:c>
      <x:c r="N20" s="14" t="str">
        <x:v>Facetas de Resina e Lentes em Resina</x:v>
      </x:c>
      <x:c r="O20" s="14" t="str">
        <x:v>Facetas de Resina em Florianópolis | Dra. Sara Michelon</x:v>
      </x:c>
      <x:c r="P20" s="14" t="str">
        <x:v>Mudanças no sorriso com abordagem conservadora e indicação baseada em dentes, mordida e gengiva.</x:v>
      </x:c>
      <x:c r="Q20" s="14" t="str">
        <x:v>O que modifica; número de dentes; desgaste; execução; quando não indicar; resina x porcelana; manutenção; FAQ; CTA</x:v>
      </x:c>
      <x:c r="R20" s="14" t="str">
        <x:v>Florianópolis no title; Ingleses no bloco local; sem forçar geo em cada H2.</x:v>
      </x:c>
      <x:c r="S20" s="14" t="str">
        <x:v>index</x:v>
      </x:c>
      <x:c r="T20" s="14" t="str">
        <x:v>Sim</x:v>
      </x:c>
      <x:c r="U20" s="14" t="str">
        <x:v>treatment</x:v>
      </x:c>
      <x:c r="V20" s="14" t="str">
        <x:v>DOCX Sara pp.1–5</x:v>
      </x:c>
      <x:c r="W20" s="14" t="str">
        <x:v>Porcelana/Lentes; Ortodontia; Periodontia; Clareamento; Diastema; Manutenção</x:v>
      </x:c>
      <x:c r="X20" s="14" t="str">
        <x:v>Casos antes/depois + Sara trabalhando</x:v>
      </x:c>
      <x:c r="Y20" s="14" t="str">
        <x:v>Trocar nomenclatura SEO de 'facetas em resina' para 'facetas de resina', mantendo ambas na copy.</x:v>
      </x:c>
      <x:c r="Z20" s="14" t="str">
        <x:v>https://seranking.com/</x:v>
      </x:c>
    </x:row>
    <x:row r="21">
      <x:c r="A21" s="14" t="n">
        <x:v>20</x:v>
      </x:c>
      <x:c r="B21" s="14" t="str">
        <x:v>Odontologia Estética</x:v>
      </x:c>
      <x:c r="C21" s="14" t="str">
        <x:v>Tratamento</x:v>
      </x:c>
      <x:c r="D21" s="14" t="str">
        <x:v>Lentes de Contato Dental e Facetas de Porcelana</x:v>
      </x:c>
      <x:c r="E21" s="14" t="str">
        <x:v>/lentes-de-contato-dental</x:v>
      </x:c>
      <x:c r="F21" s="14" t="str">
        <x:v>P0</x:v>
      </x:c>
      <x:c r="G21" s="14" t="str">
        <x:v>DESENVOLVER AGORA + redirect</x:v>
      </x:c>
      <x:c r="H21" s="14" t="str">
        <x:v>Publicar no launch</x:v>
      </x:c>
      <x:c r="I21" s="14" t="str">
        <x:v>lentes de contato dental</x:v>
      </x:c>
      <x:c r="J21" s="14" t="str">
        <x:v>9.900/mês; 'faceta de porcelana' 6.600; 'facetas de porcelana' 5.400; local exato 'lente de contato dental Florianópolis' 30/mês</x:v>
      </x:c>
      <x:c r="K21" s="14" t="str">
        <x:v>KD 45 / 53 / 60 / 4</x:v>
      </x:c>
      <x:c r="L21" s="14" t="str">
        <x:v>Consulta local exata tem L/C + Local Pack</x:v>
      </x:c>
      <x:c r="M21" s="14" t="str">
        <x:v>Local + Comercial + Informacional</x:v>
      </x:c>
      <x:c r="N21" s="14" t="str">
        <x:v>Lentes de Contato Dental e Facetas de Porcelana</x:v>
      </x:c>
      <x:c r="O21" s="14" t="str">
        <x:v>Lentes de Contato Dental e Facetas de Porcelana | Florianópolis</x:v>
      </x:c>
      <x:c r="P21" s="14" t="str">
        <x:v>Planejamento digital, mock-up e escolha do material conforme estrutura, mordida e objetivo.</x:v>
      </x:c>
      <x:c r="Q21" s="14" t="str">
        <x:v>Indicações; planejamento/mock-up; preparo; etapas; manutenção; resina x porcelana; FAQ; CTA</x:v>
      </x:c>
      <x:c r="R21" s="14" t="str">
        <x:v>Florianópolis no title; clínica nos Ingleses no final.</x:v>
      </x:c>
      <x:c r="S21" s="14" t="str">
        <x:v>index</x:v>
      </x:c>
      <x:c r="T21" s="14" t="str">
        <x:v>Sim</x:v>
      </x:c>
      <x:c r="U21" s="14" t="str">
        <x:v>treatment</x:v>
      </x:c>
      <x:c r="V21" s="14" t="str">
        <x:v>DOCX Sara pp.5–10 + URL histórica</x:v>
      </x:c>
      <x:c r="W21" s="14" t="str">
        <x:v>Facetas Resina; Reabilitação; Ortodontia; Periodontia; Manutenção</x:v>
      </x:c>
      <x:c r="X21" s="14" t="str">
        <x:v>Mock-up/scanner/casos antes-depois</x:v>
      </x:c>
      <x:c r="Y21" s="14" t="str">
        <x:v>Consolidar intenção de lentes + porcelana em uma página. 301 da antiga /lentes-de-contato-odontologicas.</x:v>
      </x:c>
      <x:c r="Z21" s="14" t="str">
        <x:v>https://seranking.com/</x:v>
      </x:c>
    </x:row>
    <x:row r="22">
      <x:c r="A22" s="14" t="n">
        <x:v>21</x:v>
      </x:c>
      <x:c r="B22" s="14" t="str">
        <x:v>Implantodontia</x:v>
      </x:c>
      <x:c r="C22" s="14" t="str">
        <x:v>Tratamento</x:v>
      </x:c>
      <x:c r="D22" s="14" t="str">
        <x:v>Implantes Dentários</x:v>
      </x:c>
      <x:c r="E22" s="14" t="str">
        <x:v>/implantes-dentarios</x:v>
      </x:c>
      <x:c r="F22" s="14" t="str">
        <x:v>P0</x:v>
      </x:c>
      <x:c r="G22" s="14" t="str">
        <x:v>DESENVOLVER AGORA</x:v>
      </x:c>
      <x:c r="H22" s="14" t="str">
        <x:v>Publicar no launch</x:v>
      </x:c>
      <x:c r="I22" s="14" t="str">
        <x:v>implantes dentários Florianópolis</x:v>
      </x:c>
      <x:c r="J22" s="14" t="str">
        <x:v>50/mês na consulta local; 'implantodontia' 5.400; 'implante de dente' 4.400; 'implante dental' 1.900 (BR)</x:v>
      </x:c>
      <x:c r="K22" s="14" t="str">
        <x:v>KD 5 local / 63 / 73 / 82</x:v>
      </x:c>
      <x:c r="L22" s="14" t="str">
        <x:v>Consulta local tem intenção de alta proximidade; genéricas exibem Local Pack</x:v>
      </x:c>
      <x:c r="M22" s="14" t="str">
        <x:v>Local + Comercial</x:v>
      </x:c>
      <x:c r="N22" s="14" t="str">
        <x:v>Implantes Dentários para substituir um ou mais dentes</x:v>
      </x:c>
      <x:c r="O22" s="14" t="str">
        <x:v>Implantes Dentários em Florianópolis | Clínica nos Ingleses</x:v>
      </x:c>
      <x:c r="P22" s="14" t="str">
        <x:v>Planejamento do dente que será reposto — não apenas instalação do implante.</x:v>
      </x:c>
      <x:c r="Q22" s="14" t="str">
        <x:v>O que são; 1/vários dentes; planejamento/tomografia; cirurgia; carga imediata; enxertos; manutenção; FAQ; CTA</x:v>
      </x:c>
      <x:c r="R22" s="14" t="str">
        <x:v>Florianópolis no title; Ingleses como localização física; Norte da Ilha contextual.</x:v>
      </x:c>
      <x:c r="S22" s="14" t="str">
        <x:v>index</x:v>
      </x:c>
      <x:c r="T22" s="14" t="str">
        <x:v>Sim — alta prioridade Ads</x:v>
      </x:c>
      <x:c r="U22" s="14" t="str">
        <x:v>treatment</x:v>
      </x:c>
      <x:c r="V22" s="14" t="str">
        <x:v>DOCX Sara pp.10–15</x:v>
      </x:c>
      <x:c r="W22" s="14" t="str">
        <x:v>Prótese Protocolo; Enxerto; Próteses; Reabilitação; Manutenção</x:v>
      </x:c>
      <x:c r="X22" s="14" t="str">
        <x:v>Tomografia/scanner/cirurgia discreta/casos</x:v>
      </x:c>
      <x:c r="Y22" s="14" t="str">
        <x:v>Prótese Protocolo ganha URL própria, mas permanece seção/resumo com link aqui.</x:v>
      </x:c>
      <x:c r="Z22" s="14" t="str">
        <x:v>https://seranking.com/</x:v>
      </x:c>
    </x:row>
    <x:row r="23">
      <x:c r="A23" s="14" t="n">
        <x:v>22</x:v>
      </x:c>
      <x:c r="B23" s="14" t="str">
        <x:v>Implantodontia</x:v>
      </x:c>
      <x:c r="C23" s="14" t="str">
        <x:v>Tratamento</x:v>
      </x:c>
      <x:c r="D23" s="14" t="str">
        <x:v>Prótese Protocolo sobre Implantes</x:v>
      </x:c>
      <x:c r="E23" s="14" t="str">
        <x:v>/protese-protocolo</x:v>
      </x:c>
      <x:c r="F23" s="14" t="str">
        <x:v>P0</x:v>
      </x:c>
      <x:c r="G23" s="14" t="str">
        <x:v>DESENVOLVER AGORA</x:v>
      </x:c>
      <x:c r="H23" s="14" t="str">
        <x:v>Publicar no launch</x:v>
      </x:c>
      <x:c r="I23" s="14" t="str">
        <x:v>prótese protocolo</x:v>
      </x:c>
      <x:c r="J23" s="14" t="str">
        <x:v>14.800/mês; 'implante protocolo' 990; várias combinações 480–590/mês (BR)</x:v>
      </x:c>
      <x:c r="K23" s="14" t="str">
        <x:v>KD 41 / 6</x:v>
      </x:c>
      <x:c r="L23" s="14" t="str">
        <x:v>Intenção de solução específica; forte potencial comercial</x:v>
      </x:c>
      <x:c r="M23" s="14" t="str">
        <x:v>Comercial + Informacional</x:v>
      </x:c>
      <x:c r="N23" s="14" t="str">
        <x:v>Prótese Protocolo: dentes fixos sobre implantes</x:v>
      </x:c>
      <x:c r="O23" s="14" t="str">
        <x:v>Prótese Protocolo em Florianópolis | Implantes Dentários</x:v>
      </x:c>
      <x:c r="P23" s="14" t="str">
        <x:v>Opção fixa para perda de todos ou quase todos os dentes, definida dentro de planejamento cirúrgico e protético.</x:v>
      </x:c>
      <x:c r="Q23" s="14" t="str">
        <x:v>O que é; indicação; diferença implante x protocolo; materiais; planejamento; carga imediata; provisório; manutenção; FAQ; CTA</x:v>
      </x:c>
      <x:c r="R23" s="14" t="str">
        <x:v>Florianópolis no SEO; clínica nos Ingleses no bloco local.</x:v>
      </x:c>
      <x:c r="S23" s="14" t="str">
        <x:v>index</x:v>
      </x:c>
      <x:c r="T23" s="14" t="str">
        <x:v>Sim — alta prioridade Ads</x:v>
      </x:c>
      <x:c r="U23" s="14" t="str">
        <x:v>treatment</x:v>
      </x:c>
      <x:c r="V23" s="14" t="str">
        <x:v>DOCX Sara pp.10–15 (extração do capítulo Implantes)</x:v>
      </x:c>
      <x:c r="W23" s="14" t="str">
        <x:v>Implantes; Reabilitação; Próteses; Enxerto; Manutenção</x:v>
      </x:c>
      <x:c r="X23" s="14" t="str">
        <x:v>Antes/depois protocolo + tomografia + planejamento</x:v>
      </x:c>
      <x:c r="Y23" s="14" t="str">
        <x:v>Dados de busca justificam separar a página, mantendo integração clínica com Implantes.</x:v>
      </x:c>
      <x:c r="Z23" s="14" t="str">
        <x:v>https://seranking.com/</x:v>
      </x:c>
    </x:row>
    <x:row r="24">
      <x:c r="A24" s="14" t="n">
        <x:v>23</x:v>
      </x:c>
      <x:c r="B24" s="14" t="str">
        <x:v>Implantodontia</x:v>
      </x:c>
      <x:c r="C24" s="14" t="str">
        <x:v>Tratamento</x:v>
      </x:c>
      <x:c r="D24" s="14" t="str">
        <x:v>Enxerto Ósseo para Implantes</x:v>
      </x:c>
      <x:c r="E24" s="14" t="str">
        <x:v>/enxerto-osseo-dentario</x:v>
      </x:c>
      <x:c r="F24" s="14" t="str">
        <x:v>P1</x:v>
      </x:c>
      <x:c r="G24" s="14" t="str">
        <x:v>DESENVOLVER AGORA</x:v>
      </x:c>
      <x:c r="H24" s="14" t="str">
        <x:v>Publicar no launch</x:v>
      </x:c>
      <x:c r="I24" s="14" t="str">
        <x:v>enxerto ósseo para implante</x:v>
      </x:c>
      <x:c r="J24" s="14" t="str">
        <x:v>590/mês 'enxerto ósseo para implantes'; 480 'enxerto ósseo para implante'; 390 'como é feito'</x:v>
      </x:c>
      <x:c r="K24" s="14" t="str">
        <x:v>KD 4 / 6 / 4</x:v>
      </x:c>
      <x:c r="L24" s="14" t="str">
        <x:v>Cluster altamente ligado à intenção de implante</x:v>
      </x:c>
      <x:c r="M24" s="14" t="str">
        <x:v>Informacional + Comercial</x:v>
      </x:c>
      <x:c r="N24" s="14" t="str">
        <x:v>Enxerto Ósseo para Implante Dentário</x:v>
      </x:c>
      <x:c r="O24" s="14" t="str">
        <x:v>Enxerto Ósseo para Implante em Florianópolis | Dra. Sara</x:v>
      </x:c>
      <x:c r="P24" s="14" t="str">
        <x:v>Quando o volume ósseo não é suficiente, reconstrução pode fazer parte do planejamento.</x:v>
      </x:c>
      <x:c r="Q24" s="14" t="str">
        <x:v>Por que precisa; diagnóstico/tomografia; técnicas de forma geral; seio maxilar; etapas; recuperação; FAQ; CTA</x:v>
      </x:c>
      <x:c r="R24" s="14" t="str">
        <x:v>Florianópolis no title; local block Ingleses.</x:v>
      </x:c>
      <x:c r="S24" s="14" t="str">
        <x:v>index</x:v>
      </x:c>
      <x:c r="T24" s="14" t="str">
        <x:v>Sim</x:v>
      </x:c>
      <x:c r="U24" s="14" t="str">
        <x:v>treatment</x:v>
      </x:c>
      <x:c r="V24" s="14" t="str">
        <x:v>DOCX Sara pp.12–14 + lista final</x:v>
      </x:c>
      <x:c r="W24" s="14" t="str">
        <x:v>Implantes; Prótese Protocolo; Reabilitação</x:v>
      </x:c>
      <x:c r="X24" s="14" t="str">
        <x:v>Tomografia/ilustração discreta</x:v>
      </x:c>
      <x:c r="Y24" s="14" t="str">
        <x:v>Volume e intenção justificam manter página própria.</x:v>
      </x:c>
      <x:c r="Z24" s="14" t="str">
        <x:v>https://seranking.com/</x:v>
      </x:c>
    </x:row>
    <x:row r="25">
      <x:c r="A25" s="14" t="n">
        <x:v>24</x:v>
      </x:c>
      <x:c r="B25" s="14" t="str">
        <x:v>Periodontia</x:v>
      </x:c>
      <x:c r="C25" s="14" t="str">
        <x:v>Tratamento</x:v>
      </x:c>
      <x:c r="D25" s="14" t="str">
        <x:v>Periodontia e Tratamento de Gengiva</x:v>
      </x:c>
      <x:c r="E25" s="14" t="str">
        <x:v>/periodontia</x:v>
      </x:c>
      <x:c r="F25" s="14" t="str">
        <x:v>P0</x:v>
      </x:c>
      <x:c r="G25" s="14" t="str">
        <x:v>DESENVOLVER AGORA</x:v>
      </x:c>
      <x:c r="H25" s="14" t="str">
        <x:v>Publicar no launch</x:v>
      </x:c>
      <x:c r="I25" s="14" t="str">
        <x:v>periodontia</x:v>
      </x:c>
      <x:c r="J25" s="14" t="str">
        <x:v>27.100/mês; 'dentista especialista em gengiva' 590; 'dentista periodontista' 590; 'tratamento de gengiva' variações comerciais</x:v>
      </x:c>
      <x:c r="K25" s="14" t="str">
        <x:v>KD 82 / 5 / 3</x:v>
      </x:c>
      <x:c r="L25" s="14" t="str">
        <x:v>Principais variantes de profissional têm Local Pack / L+C</x:v>
      </x:c>
      <x:c r="M25" s="14" t="str">
        <x:v>Local + Comercial + Informacional</x:v>
      </x:c>
      <x:c r="N25" s="14" t="str">
        <x:v>Periodontia e Tratamento de Gengiva</x:v>
      </x:c>
      <x:c r="O25" s="14" t="str">
        <x:v>Periodontia em Florianópolis | Especialista em Gengiva</x:v>
      </x:c>
      <x:c r="P25" s="14" t="str">
        <x:v>Saúde da gengiva, controle da doença periodontal e preservação das estruturas de suporte.</x:v>
      </x:c>
      <x:c r="Q25" s="14" t="str">
        <x:v>Sinais; gengivite x periodontite; avaliação/sondagem; tratamento; manutenção; implantes/peri-implantite; CTA</x:v>
      </x:c>
      <x:c r="R25" s="14" t="str">
        <x:v>Florianópolis no title; Ingleses no bloco local.</x:v>
      </x:c>
      <x:c r="S25" s="14" t="str">
        <x:v>index</x:v>
      </x:c>
      <x:c r="T25" s="14" t="str">
        <x:v>Sim</x:v>
      </x:c>
      <x:c r="U25" s="14" t="str">
        <x:v>treatment</x:v>
      </x:c>
      <x:c r="V25" s="14" t="str">
        <x:v>DOCX Sara pp.15–20</x:v>
      </x:c>
      <x:c r="W25" s="14" t="str">
        <x:v>Cirurgia Gengival; Limpeza; Manutenção; Implantes; Facetas</x:v>
      </x:c>
      <x:c r="X25" s="14" t="str">
        <x:v>Avaliação periodontal/casos discretos</x:v>
      </x:c>
      <x:c r="Y25" s="14" t="str">
        <x:v>Usar linguagem de paciente ('especialista em gengiva', 'gengiva sangrando') além do termo técnico.</x:v>
      </x:c>
      <x:c r="Z25" s="14" t="str">
        <x:v>https://seranking.com/</x:v>
      </x:c>
    </x:row>
    <x:row r="26">
      <x:c r="A26" s="14" t="n">
        <x:v>25</x:v>
      </x:c>
      <x:c r="B26" s="14" t="str">
        <x:v>Periodontia</x:v>
      </x:c>
      <x:c r="C26" s="14" t="str">
        <x:v>Tratamento</x:v>
      </x:c>
      <x:c r="D26" s="14" t="str">
        <x:v>Gengivoplastia e Cirurgia Gengival</x:v>
      </x:c>
      <x:c r="E26" s="14" t="str">
        <x:v>/cirurgia-gengival</x:v>
      </x:c>
      <x:c r="F26" s="14" t="str">
        <x:v>P0</x:v>
      </x:c>
      <x:c r="G26" s="14" t="str">
        <x:v>DESENVOLVER AGORA</x:v>
      </x:c>
      <x:c r="H26" s="14" t="str">
        <x:v>Publicar no launch</x:v>
      </x:c>
      <x:c r="I26" s="14" t="str">
        <x:v>gengivoplastia</x:v>
      </x:c>
      <x:c r="J26" s="14" t="str">
        <x:v>27.100/mês; 'cirurgia gengiva' 1.900; 'cirurgia na gengiva' 660; 'cirurgia sorriso gengival' 390 (BR)</x:v>
      </x:c>
      <x:c r="K26" s="14" t="str">
        <x:v>KD 58 / 52 / 7 / 3</x:v>
      </x:c>
      <x:c r="L26" s="14" t="str">
        <x:v>Cluster específico e distinto de doença periodontal</x:v>
      </x:c>
      <x:c r="M26" s="14" t="str">
        <x:v>Informacional + Comercial</x:v>
      </x:c>
      <x:c r="N26" s="14" t="str">
        <x:v>Gengivoplastia e Cirurgia Gengival</x:v>
      </x:c>
      <x:c r="O26" s="14" t="str">
        <x:v>Gengivoplastia e Cirurgia Gengival em Florianópolis</x:v>
      </x:c>
      <x:c r="P26" s="14" t="str">
        <x:v>Correção do contorno gengival após diagnóstico da relação entre dentes, gengiva e sorriso.</x:v>
      </x:c>
      <x:c r="Q26" s="14" t="str">
        <x:v>Gengivoplastia; aumento de coroa; sorriso gengival; retração; enxerto gengival; planejamento antes de facetas; FAQ; CTA</x:v>
      </x:c>
      <x:c r="R26" s="14" t="str">
        <x:v>Florianópolis no title; Ingleses no bloco local.</x:v>
      </x:c>
      <x:c r="S26" s="14" t="str">
        <x:v>index</x:v>
      </x:c>
      <x:c r="T26" s="14" t="str">
        <x:v>Sim</x:v>
      </x:c>
      <x:c r="U26" s="14" t="str">
        <x:v>treatment</x:v>
      </x:c>
      <x:c r="V26" s="14" t="str">
        <x:v>DOCX Sara pp.17–20</x:v>
      </x:c>
      <x:c r="W26" s="14" t="str">
        <x:v>Periodontia; Facetas Resina; Porcelana; Reabilitação</x:v>
      </x:c>
      <x:c r="X26" s="14" t="str">
        <x:v>Antes/depois gengival + retração/enxerto</x:v>
      </x:c>
      <x:c r="Y26" s="14" t="str">
        <x:v>Pesquisa confirma página própria; não fragmentar inicialmente em várias URLs menores.</x:v>
      </x:c>
      <x:c r="Z26" s="14" t="str">
        <x:v>https://seranking.com/</x:v>
      </x:c>
    </x:row>
    <x:row r="27">
      <x:c r="A27" s="14" t="n">
        <x:v>26</x:v>
      </x:c>
      <x:c r="B27" s="14" t="str">
        <x:v>Ortodontia</x:v>
      </x:c>
      <x:c r="C27" s="14" t="str">
        <x:v>Tratamento/Hub</x:v>
      </x:c>
      <x:c r="D27" s="14" t="str">
        <x:v>Ortodontia — Aparelhos e Alinhadores</x:v>
      </x:c>
      <x:c r="E27" s="14" t="str">
        <x:v>/ortodontia</x:v>
      </x:c>
      <x:c r="F27" s="14" t="str">
        <x:v>P0</x:v>
      </x:c>
      <x:c r="G27" s="14" t="str">
        <x:v>DESENVOLVER AGORA</x:v>
      </x:c>
      <x:c r="H27" s="14" t="str">
        <x:v>Publicar no launch</x:v>
      </x:c>
      <x:c r="I27" s="14" t="str">
        <x:v>ortodontista Florianópolis</x:v>
      </x:c>
      <x:c r="J27" s="14" t="str">
        <x:v>140/mês; 'ortodontia Florianópolis' 140/mês</x:v>
      </x:c>
      <x:c r="K27" s="14" t="str">
        <x:v>KD 7</x:v>
      </x:c>
      <x:c r="L27" s="14" t="str">
        <x:v>L/C + Local Pack</x:v>
      </x:c>
      <x:c r="M27" s="14" t="str">
        <x:v>Local + Comercial</x:v>
      </x:c>
      <x:c r="N27" s="14" t="str">
        <x:v>Ortodontia: aparelhos dentários e alinhadores transparentes</x:v>
      </x:c>
      <x:c r="O27" s="14" t="str">
        <x:v>Ortodontista em Florianópolis | Aparelhos e Alinhadores</x:v>
      </x:c>
      <x:c r="P27" s="14" t="str">
        <x:v>Escolher o sistema depois do diagnóstico e das movimentações necessárias.</x:v>
      </x:c>
      <x:c r="Q27" s="14" t="str">
        <x:v>Alinhadores; autoligados; convencionais; planejamento; crianças/adolescentes/adultos; antes de facetas; contenção; FAQ; CTA</x:v>
      </x:c>
      <x:c r="R27" s="14" t="str">
        <x:v>Florianópolis no title; clínica nos Ingleses.</x:v>
      </x:c>
      <x:c r="S27" s="14" t="str">
        <x:v>index</x:v>
      </x:c>
      <x:c r="T27" s="14" t="str">
        <x:v>Sim</x:v>
      </x:c>
      <x:c r="U27" s="14" t="str">
        <x:v>treatment</x:v>
      </x:c>
      <x:c r="V27" s="14" t="str">
        <x:v>DOCX Sara pp.21–25</x:v>
      </x:c>
      <x:c r="W27" s="14" t="str">
        <x:v>Invisalign; Facetas; Manutenção</x:v>
      </x:c>
      <x:c r="X27" s="14" t="str">
        <x:v>Alinhador/aparelho/scanner/caso integrado</x:v>
      </x:c>
      <x:c r="Y27" s="14" t="str">
        <x:v>Página hub geral; Invisalign continua URL própria.</x:v>
      </x:c>
      <x:c r="Z27" s="14" t="str">
        <x:v>https://seranking.com/</x:v>
      </x:c>
    </x:row>
    <x:row r="28">
      <x:c r="A28" s="14" t="n">
        <x:v>27</x:v>
      </x:c>
      <x:c r="B28" s="14" t="str">
        <x:v>Ortodontia</x:v>
      </x:c>
      <x:c r="C28" s="14" t="str">
        <x:v>Tratamento</x:v>
      </x:c>
      <x:c r="D28" s="14" t="str">
        <x:v>Invisalign / Alinhadores Transparentes</x:v>
      </x:c>
      <x:c r="E28" s="14" t="str">
        <x:v>/invisalign</x:v>
      </x:c>
      <x:c r="F28" s="14" t="str">
        <x:v>P0</x:v>
      </x:c>
      <x:c r="G28" s="14" t="str">
        <x:v>DESENVOLVER AGORA — preservar URL</x:v>
      </x:c>
      <x:c r="H28" s="14" t="str">
        <x:v>Publicar no launch</x:v>
      </x:c>
      <x:c r="I28" s="14" t="str">
        <x:v>Invisalign Florianópolis</x:v>
      </x:c>
      <x:c r="J28" s="14" t="str">
        <x:v>40/mês local; 'aparelho Invisalign' 14.800; 'aparelho invisível' 10.800; 'alinhadores invisíveis' 2.400 (BR)</x:v>
      </x:c>
      <x:c r="K28" s="14" t="str">
        <x:v>KD 22 local / 81 / 61 / 51</x:v>
      </x:c>
      <x:c r="L28" s="14" t="str">
        <x:v>Site atual já ranqueia; consultas genéricas têm Local Pack</x:v>
      </x:c>
      <x:c r="M28" s="14" t="str">
        <x:v>Local + Comercial</x:v>
      </x:c>
      <x:c r="N28" s="14" t="str">
        <x:v>Invisalign e Alinhadores Transparentes</x:v>
      </x:c>
      <x:c r="O28" s="14" t="str">
        <x:v>Invisalign em Florianópolis | Alinhadores Transparentes</x:v>
      </x:c>
      <x:c r="P28" s="14" t="str">
        <x:v>Ortodontia discreta com planejamento digital e escolha do sistema conforme o caso.</x:v>
      </x:c>
      <x:c r="Q28" s="14" t="str">
        <x:v>O que é; Invisalign x alinhador; indicação; planejamento; uso/colaboração; tempo; comparação com aparelho fixo; FAQ; CTA</x:v>
      </x:c>
      <x:c r="R28" s="14" t="str">
        <x:v>Florianópolis no title; Norte da Ilha/Clínica no bloco local.</x:v>
      </x:c>
      <x:c r="S28" s="14" t="str">
        <x:v>index</x:v>
      </x:c>
      <x:c r="T28" s="14" t="str">
        <x:v>Sim — alta prioridade Ads</x:v>
      </x:c>
      <x:c r="U28" s="14" t="str">
        <x:v>treatment</x:v>
      </x:c>
      <x:c r="V28" s="14" t="str">
        <x:v>DOCX Sara pp.21–25 + página histórica</x:v>
      </x:c>
      <x:c r="W28" s="14" t="str">
        <x:v>Ortodontia; Manutenção; Facetas</x:v>
      </x:c>
      <x:c r="X28" s="14" t="str">
        <x:v>Alinhadores/scanner/Sara</x:v>
      </x:c>
      <x:c r="Y28" s="14" t="str">
        <x:v>Manter /invisalign; já existe patrimônio orgânico.</x:v>
      </x:c>
      <x:c r="Z28" s="14" t="str">
        <x:v>https://seranking.com/</x:v>
      </x:c>
    </x:row>
    <x:row r="29">
      <x:c r="A29" s="14" t="n">
        <x:v>28</x:v>
      </x:c>
      <x:c r="B29" s="14" t="str">
        <x:v>Cirurgia Oral</x:v>
      </x:c>
      <x:c r="C29" s="14" t="str">
        <x:v>Tratamento</x:v>
      </x:c>
      <x:c r="D29" s="14" t="str">
        <x:v>Extração de Siso</x:v>
      </x:c>
      <x:c r="E29" s="14" t="str">
        <x:v>/extracao-de-siso</x:v>
      </x:c>
      <x:c r="F29" s="14" t="str">
        <x:v>P1</x:v>
      </x:c>
      <x:c r="G29" s="14" t="str">
        <x:v>DESENVOLVER AGORA</x:v>
      </x:c>
      <x:c r="H29" s="14" t="str">
        <x:v>Publicar no launch</x:v>
      </x:c>
      <x:c r="I29" s="14" t="str">
        <x:v>extração de siso</x:v>
      </x:c>
      <x:c r="J29" s="14" t="str">
        <x:v>9.900/mês; 'extração do siso' 8.100; 'cirurgia do siso' 2.900; 'siso incluso' 4.400 (BR)</x:v>
      </x:c>
      <x:c r="K29" s="14" t="str">
        <x:v>KD 60 / 64 / 56 / 27</x:v>
      </x:c>
      <x:c r="L29" s="14" t="str">
        <x:v>Intenção de procedimento e sintomas; potencial local alto</x:v>
      </x:c>
      <x:c r="M29" s="14" t="str">
        <x:v>Informacional + Comercial</x:v>
      </x:c>
      <x:c r="N29" s="14" t="str">
        <x:v>Extração de Siso: avaliação e cirurgia quando indicada</x:v>
      </x:c>
      <x:c r="O29" s="14" t="str">
        <x:v>Extração de Siso em Florianópolis | Clínica nos Ingleses</x:v>
      </x:c>
      <x:c r="P29" s="14" t="str">
        <x:v>Nem todo siso precisa ser removido; a decisão depende de exame clínico e imagem.</x:v>
      </x:c>
      <x:c r="Q29" s="14" t="str">
        <x:v>Indicações; radiografia/tomografia; simples x complexas; 4 sisos; pós-op; FAQ; CTA</x:v>
      </x:c>
      <x:c r="R29" s="14" t="str">
        <x:v>Florianópolis no title; Ingleses no bloco local.</x:v>
      </x:c>
      <x:c r="S29" s="14" t="str">
        <x:v>index</x:v>
      </x:c>
      <x:c r="T29" s="14" t="str">
        <x:v>Sim</x:v>
      </x:c>
      <x:c r="U29" s="14" t="str">
        <x:v>treatment</x:v>
      </x:c>
      <x:c r="V29" s="14" t="str">
        <x:v>DOCX Sara pp.25–27</x:v>
      </x:c>
      <x:c r="W29" s="14" t="str">
        <x:v>Contato; Manutenção; Cirurgia/Equipe</x:v>
      </x:c>
      <x:c r="X29" s="14" t="str">
        <x:v>Radiografia/tomografia + profissional</x:v>
      </x:c>
      <x:c r="Y29" s="14" t="str">
        <x:v>Copy da Sara já cobre as principais intenções de busca.</x:v>
      </x:c>
      <x:c r="Z29" s="14" t="str">
        <x:v>https://seranking.com/</x:v>
      </x:c>
    </x:row>
    <x:row r="30">
      <x:c r="A30" s="14" t="n">
        <x:v>29</x:v>
      </x:c>
      <x:c r="B30" s="14" t="str">
        <x:v>DTM / Dor Orofacial</x:v>
      </x:c>
      <x:c r="C30" s="14" t="str">
        <x:v>Tratamento</x:v>
      </x:c>
      <x:c r="D30" s="14" t="str">
        <x:v>Bruxismo, DTM e Dor Orofacial</x:v>
      </x:c>
      <x:c r="E30" s="14" t="str">
        <x:v>/bruxismo</x:v>
      </x:c>
      <x:c r="F30" s="14" t="str">
        <x:v>P0</x:v>
      </x:c>
      <x:c r="G30" s="14" t="str">
        <x:v>DESENVOLVER AGORA</x:v>
      </x:c>
      <x:c r="H30" s="14" t="str">
        <x:v>Publicar no launch</x:v>
      </x:c>
      <x:c r="I30" s="14" t="str">
        <x:v>bruxismo</x:v>
      </x:c>
      <x:c r="J30" s="14" t="str">
        <x:v>'rangendo os dentes' 3.600; 'ranger os dentes' 3.200; 'bruxismo sintomas' 2.400; 'bruxismo causa' 1.100 (BR)</x:v>
      </x:c>
      <x:c r="K30" s="14" t="str">
        <x:v>—</x:v>
      </x:c>
      <x:c r="L30" s="14" t="str">
        <x:v>Forte intenção sintomática; exato local é esparso</x:v>
      </x:c>
      <x:c r="M30" s="14" t="str">
        <x:v>Informacional + Comercial</x:v>
      </x:c>
      <x:c r="N30" s="14" t="str">
        <x:v>Bruxismo, DTM e Dor Orofacial</x:v>
      </x:c>
      <x:c r="O30" s="14" t="str">
        <x:v>Tratamento do Bruxismo em Florianópolis | DTM e Dor Orofacial</x:v>
      </x:c>
      <x:c r="P30" s="14" t="str">
        <x:v>Dor, tensão e apertamento exigem diagnóstico antes de escolher a terapia.</x:v>
      </x:c>
      <x:c r="Q30" s="14" t="str">
        <x:v>Sintomas; diagnóstico; placa estabilizadora; acompanhamento/ajustes; abordagem multidisciplinar; FAQ; CTA</x:v>
      </x:c>
      <x:c r="R30" s="14" t="str">
        <x:v>Florianópolis no title; Ingleses na localização.</x:v>
      </x:c>
      <x:c r="S30" s="14" t="str">
        <x:v>index</x:v>
      </x:c>
      <x:c r="T30" s="14" t="str">
        <x:v>Sim</x:v>
      </x:c>
      <x:c r="U30" s="14" t="str">
        <x:v>treatment</x:v>
      </x:c>
      <x:c r="V30" s="14" t="str">
        <x:v>DOCX Sara pp.28–29</x:v>
      </x:c>
      <x:c r="W30" s="14" t="str">
        <x:v>Reabilitação; Facetas/Porcelana; Contato</x:v>
      </x:c>
      <x:c r="X30" s="14" t="str">
        <x:v>Pessoa com tensão sóbria + placa própria</x:v>
      </x:c>
      <x:c r="Y30" s="14" t="str">
        <x:v>Nova página confirmada pelo conteúdo enviado; SEO deve usar sintomas em H2/FAQ.</x:v>
      </x:c>
      <x:c r="Z30" s="14" t="str">
        <x:v>https://seranking.com/</x:v>
      </x:c>
    </x:row>
    <x:row r="31">
      <x:c r="A31" s="14" t="n">
        <x:v>30</x:v>
      </x:c>
      <x:c r="B31" s="14" t="str">
        <x:v>Endodontia</x:v>
      </x:c>
      <x:c r="C31" s="14" t="str">
        <x:v>Tratamento</x:v>
      </x:c>
      <x:c r="D31" s="14" t="str">
        <x:v>Tratamento de Canal / Endodontia</x:v>
      </x:c>
      <x:c r="E31" s="14" t="str">
        <x:v>/tratamento-de-canal</x:v>
      </x:c>
      <x:c r="F31" s="14" t="str">
        <x:v>P0</x:v>
      </x:c>
      <x:c r="G31" s="14" t="str">
        <x:v>DESENVOLVER AGORA</x:v>
      </x:c>
      <x:c r="H31" s="14" t="str">
        <x:v>Publicar no launch</x:v>
      </x:c>
      <x:c r="I31" s="14" t="str">
        <x:v>tratamento de canal</x:v>
      </x:c>
      <x:c r="J31" s="14" t="str">
        <x:v>'canal no dente' 33.100; 'tratamento endodôntico' 3.100; 'retratamento de canal' 1.600 (BR)</x:v>
      </x:c>
      <x:c r="K31" s="14" t="str">
        <x:v>KD 49 / 61 / 37</x:v>
      </x:c>
      <x:c r="L31" s="14" t="str">
        <x:v>'endodontia canal' apresenta L/C + Local Pack</x:v>
      </x:c>
      <x:c r="M31" s="14" t="str">
        <x:v>Informacional + Comercial</x:v>
      </x:c>
      <x:c r="N31" s="14" t="str">
        <x:v>Tratamento de Canal e Endodontia</x:v>
      </x:c>
      <x:c r="O31" s="14" t="str">
        <x:v>Tratamento de Canal em Florianópolis | Endodontia</x:v>
      </x:c>
      <x:c r="P31" s="14" t="str">
        <x:v>Tratar a parte interna do dente e preservar a estrutura quando houver condições.</x:v>
      </x:c>
      <x:c r="Q31" s="14" t="str">
        <x:v>Quando precisa; sinais; como funciona; tecnologia; sessões; retratamento; apicectomia; restauração posterior; FAQ; CTA</x:v>
      </x:c>
      <x:c r="R31" s="14" t="str">
        <x:v>Florianópolis no title; Ingleses no bloco local.</x:v>
      </x:c>
      <x:c r="S31" s="14" t="str">
        <x:v>index</x:v>
      </x:c>
      <x:c r="T31" s="14" t="str">
        <x:v>Sim</x:v>
      </x:c>
      <x:c r="U31" s="14" t="str">
        <x:v>treatment</x:v>
      </x:c>
      <x:c r="V31" s="14" t="str">
        <x:v>DOCX Sara pp.29–32</x:v>
      </x:c>
      <x:c r="W31" s="14" t="str">
        <x:v>Reabilitação; Inlays/Onlays; Próteses; Manutenção</x:v>
      </x:c>
      <x:c r="X31" s="14" t="str">
        <x:v>Especialista realizando tratamento + ilustração discreta</x:v>
      </x:c>
      <x:c r="Y31" s="14" t="str">
        <x:v>Não separar retratamento/apicectomia inicialmente; usar como subseções e futuras pautas.</x:v>
      </x:c>
      <x:c r="Z31" s="14" t="str">
        <x:v>https://seranking.com/</x:v>
      </x:c>
    </x:row>
    <x:row r="32">
      <x:c r="A32" s="14" t="n">
        <x:v>31</x:v>
      </x:c>
      <x:c r="B32" s="14" t="str">
        <x:v>Reabilitação</x:v>
      </x:c>
      <x:c r="C32" s="14" t="str">
        <x:v>Hub/Tratamento</x:v>
      </x:c>
      <x:c r="D32" s="14" t="str">
        <x:v>Reabilitação Oral</x:v>
      </x:c>
      <x:c r="E32" s="14" t="str">
        <x:v>/reabilitacao-oral</x:v>
      </x:c>
      <x:c r="F32" s="14" t="str">
        <x:v>P0</x:v>
      </x:c>
      <x:c r="G32" s="14" t="str">
        <x:v>DESENVOLVER AGORA</x:v>
      </x:c>
      <x:c r="H32" s="14" t="str">
        <x:v>Publicar no launch</x:v>
      </x:c>
      <x:c r="I32" s="14" t="str">
        <x:v>reabilitação oral</x:v>
      </x:c>
      <x:c r="J32" s="14" t="str">
        <x:v>'centro de reabilitação oral' 210/mês (L/C); 'o que é reabilitação oral' 170; 'clínica de reabilitação oral' 70 (BR)</x:v>
      </x:c>
      <x:c r="K32" s="14" t="str">
        <x:v>KD 4 / 3 / 4</x:v>
      </x:c>
      <x:c r="L32" s="14" t="str">
        <x:v>Consultas de clínica/centro apresentam Local Pack</x:v>
      </x:c>
      <x:c r="M32" s="14" t="str">
        <x:v>Local + Comercial + Informacional</x:v>
      </x:c>
      <x:c r="N32" s="14" t="str">
        <x:v>Reabilitação Oral: planejamento integrado do sorriso e da função</x:v>
      </x:c>
      <x:c r="O32" s="14" t="str">
        <x:v>Reabilitação Oral em Florianópolis | Planejamento Integrado</x:v>
      </x:c>
      <x:c r="P32" s="14" t="str">
        <x:v>Para quem tem vários problemas ao mesmo tempo e não sabe por qual tratamento começar.</x:v>
      </x:c>
      <x:c r="Q32" s="14" t="str">
        <x:v>Quando indicada; não é um procedimento único; diagnóstico; sequência; base biológica; mordida; cards de tratamentos; FAQ; CTA</x:v>
      </x:c>
      <x:c r="R32" s="14" t="str">
        <x:v>Florianópolis no title; clínica nos Ingleses no bloco local.</x:v>
      </x:c>
      <x:c r="S32" s="14" t="str">
        <x:v>index</x:v>
      </x:c>
      <x:c r="T32" s="14" t="str">
        <x:v>Sim — boa landing para casos complexos</x:v>
      </x:c>
      <x:c r="U32" s="14" t="str">
        <x:v>treatment</x:v>
      </x:c>
      <x:c r="V32" s="14" t="str">
        <x:v>DOCX Sara pp.33–38</x:v>
      </x:c>
      <x:c r="W32" s="14" t="str">
        <x:v>Implantes; Protocolo; Próteses; Periodontia; Canal; Ortodontia; Porcelana; Inlays</x:v>
      </x:c>
      <x:c r="X32" s="14" t="str">
        <x:v>Sara avaliando paciente + scanner + planejamento</x:v>
      </x:c>
      <x:c r="Y32" s="14" t="str">
        <x:v>P0: importante comercialmente mesmo com volume menor, pois agrupa intenção de casos complexos/high ticket.</x:v>
      </x:c>
      <x:c r="Z32" s="14" t="str">
        <x:v>https://seranking.com/</x:v>
      </x:c>
    </x:row>
    <x:row r="33">
      <x:c r="A33" s="14" t="n">
        <x:v>32</x:v>
      </x:c>
      <x:c r="B33" s="14" t="str">
        <x:v>Continuidade</x:v>
      </x:c>
      <x:c r="C33" s="14" t="str">
        <x:v>Hub/Serviço</x:v>
      </x:c>
      <x:c r="D33" s="14" t="str">
        <x:v>Manutenção e Acompanhamento dos Tratamentos</x:v>
      </x:c>
      <x:c r="E33" s="14" t="str">
        <x:v>/manutencao-odontologica</x:v>
      </x:c>
      <x:c r="F33" s="14" t="str">
        <x:v>P1</x:v>
      </x:c>
      <x:c r="G33" s="14" t="str">
        <x:v>DESENVOLVER AGORA</x:v>
      </x:c>
      <x:c r="H33" s="14" t="str">
        <x:v>Publicar quando copy final chegar</x:v>
      </x:c>
      <x:c r="I33" s="14" t="str">
        <x:v>acompanhamento odontológico / manutenção de tratamentos</x:v>
      </x:c>
      <x:c r="J33" s="14" t="str">
        <x:v>SE Ranking para 'manutenção odontológica' é dominado por manutenção de equipamentos; sem bom cluster genérico de paciente</x:v>
      </x:c>
      <x:c r="K33" s="14" t="str">
        <x:v>—</x:v>
      </x:c>
      <x:c r="L33" s="14" t="str">
        <x:v>Valor principal é retenção/UX, não aquisição orgânica genérica</x:v>
      </x:c>
      <x:c r="M33" s="14" t="str">
        <x:v>Navegacional + Retenção</x:v>
      </x:c>
      <x:c r="N33" s="14" t="str">
        <x:v>Manutenção e acompanhamento depois do tratamento</x:v>
      </x:c>
      <x:c r="O33" s="14" t="str">
        <x:v>Manutenção e Acompanhamento Odontológico | Dra. Sara Michelon</x:v>
      </x:c>
      <x:c r="P33" s="14" t="str">
        <x:v>O tratamento continua: retornos, prevenção e cuidados específicos conforme o procedimento realizado.</x:v>
      </x:c>
      <x:c r="Q33" s="14" t="str">
        <x:v>Preventiva; periodontal; implantes; próteses; facetas; ortodontia; Invisalign; limpeza; como agendar retorno</x:v>
      </x:c>
      <x:c r="R33" s="14" t="str">
        <x:v>Localidade discreta; página voltada à base de pacientes.</x:v>
      </x:c>
      <x:c r="S33" s="14" t="str">
        <x:v>index</x:v>
      </x:c>
      <x:c r="T33" s="14" t="str">
        <x:v>Sim, mas baixa prioridade de aquisição</x:v>
      </x:c>
      <x:c r="U33" s="14" t="str">
        <x:v>treatment/hub</x:v>
      </x:c>
      <x:c r="V33" s="14" t="str">
        <x:v>Sara confirma todos os tipos; conteúdo recorrente em várias páginas do DOCX</x:v>
      </x:c>
      <x:c r="W33" s="14" t="str">
        <x:v>Todos os tratamentos</x:v>
      </x:c>
      <x:c r="X33" s="14" t="str">
        <x:v>Clínica + fotos de acompanhamento</x:v>
      </x:c>
      <x:c r="Y33" s="14" t="str">
        <x:v>Não tentar ranquear forçando 'manutenção odontológica': termo é ambíguo no SEO. Usar como hub de continuidade e internal linking.</x:v>
      </x:c>
      <x:c r="Z33" s="14" t="str">
        <x:v>https://seranking.com/</x:v>
      </x:c>
    </x:row>
    <x:row r="34">
      <x:c r="A34" s="14" t="n">
        <x:v>33</x:v>
      </x:c>
      <x:c r="B34" s="14" t="str">
        <x:v>Prevenção</x:v>
      </x:c>
      <x:c r="C34" s="14" t="str">
        <x:v>Tratamento</x:v>
      </x:c>
      <x:c r="D34" s="14" t="str">
        <x:v>Limpeza Dentária / Profilaxia</x:v>
      </x:c>
      <x:c r="E34" s="14" t="str">
        <x:v>/limpeza-dental</x:v>
      </x:c>
      <x:c r="F34" s="14" t="str">
        <x:v>P1</x:v>
      </x:c>
      <x:c r="G34" s="14" t="str">
        <x:v>DESENVOLVER AGORA</x:v>
      </x:c>
      <x:c r="H34" s="14" t="str">
        <x:v>Publicar após copy</x:v>
      </x:c>
      <x:c r="I34" s="14" t="str">
        <x:v>limpeza dentária</x:v>
      </x:c>
      <x:c r="J34" s="14" t="str">
        <x:v>9.900/mês; 'profilaxia dental' 8.100; 'limpeza dos dentes' 8.000 (BR)</x:v>
      </x:c>
      <x:c r="K34" s="14" t="str">
        <x:v>KD 57 / 32 / 45</x:v>
      </x:c>
      <x:c r="L34" s="14" t="str">
        <x:v>'limpeza dentária' e 'limpeza dos dentes' apresentam Local Pack / L+C</x:v>
      </x:c>
      <x:c r="M34" s="14" t="str">
        <x:v>Local + Comercial</x:v>
      </x:c>
      <x:c r="N34" s="14" t="str">
        <x:v>Limpeza Dentária e Profilaxia</x:v>
      </x:c>
      <x:c r="O34" s="14" t="str">
        <x:v>Limpeza Dentária em Florianópolis | Profilaxia</x:v>
      </x:c>
      <x:c r="P34" s="14" t="str">
        <x:v>Prevenção e remoção profissional de placa/tártaro conforme a necessidade clínica.</x:v>
      </x:c>
      <x:c r="Q34" s="14" t="str">
        <x:v>O que é; diferença higiene diária x profissional; quando fazer; etapas; gengiva; manutenção; FAQ; CTA</x:v>
      </x:c>
      <x:c r="R34" s="14" t="str">
        <x:v>Florianópolis no title; Ingleses no bloco local.</x:v>
      </x:c>
      <x:c r="S34" s="14" t="str">
        <x:v>index</x:v>
      </x:c>
      <x:c r="T34" s="14" t="str">
        <x:v>Sim</x:v>
      </x:c>
      <x:c r="U34" s="14" t="str">
        <x:v>treatment</x:v>
      </x:c>
      <x:c r="V34" s="14" t="str">
        <x:v>Lista final; conteúdo ainda a chegar</x:v>
      </x:c>
      <x:c r="W34" s="14" t="str">
        <x:v>Periodontia; Manutenção; Home</x:v>
      </x:c>
      <x:c r="X34" s="14" t="str">
        <x:v>Procedimento/consultório</x:v>
      </x:c>
      <x:c r="Y34" s="14" t="str">
        <x:v>Usar 'limpeza dentária' como linguagem primária; 'profilaxia' como termo técnico secundário.</x:v>
      </x:c>
      <x:c r="Z34" s="14" t="str">
        <x:v>https://seranking.com/</x:v>
      </x:c>
    </x:row>
    <x:row r="35">
      <x:c r="A35" s="14" t="n">
        <x:v>34</x:v>
      </x:c>
      <x:c r="B35" s="14" t="str">
        <x:v>Reabilitação</x:v>
      </x:c>
      <x:c r="C35" s="14" t="str">
        <x:v>Tratamento</x:v>
      </x:c>
      <x:c r="D35" s="14" t="str">
        <x:v>Próteses Dentárias</x:v>
      </x:c>
      <x:c r="E35" s="14" t="str">
        <x:v>/proteses-dentarias</x:v>
      </x:c>
      <x:c r="F35" s="14" t="str">
        <x:v>P1</x:v>
      </x:c>
      <x:c r="G35" s="14" t="str">
        <x:v>DESENVOLVER AGORA</x:v>
      </x:c>
      <x:c r="H35" s="14" t="str">
        <x:v>Publicar após confirmar modalidades/copy</x:v>
      </x:c>
      <x:c r="I35" s="14" t="str">
        <x:v>próteses dentárias</x:v>
      </x:c>
      <x:c r="J35" s="14" t="str">
        <x:v>'prótese' 27.100/mês L/C; 'próteses dentárias' 1.300 L/C; 'prótese fixa' 12.100 (BR)</x:v>
      </x:c>
      <x:c r="K35" s="14" t="str">
        <x:v>KD 79 / 59 / 40</x:v>
      </x:c>
      <x:c r="L35" s="14" t="str">
        <x:v>Genéricas apresentam Local Pack</x:v>
      </x:c>
      <x:c r="M35" s="14" t="str">
        <x:v>Local + Comercial</x:v>
      </x:c>
      <x:c r="N35" s="14" t="str">
        <x:v>Próteses Dentárias: opções fixas e removíveis conforme indicação</x:v>
      </x:c>
      <x:c r="O35" s="14" t="str">
        <x:v>Próteses Dentárias em Florianópolis | Clínica nos Ingleses</x:v>
      </x:c>
      <x:c r="P35" s="14" t="str">
        <x:v>Repor estrutura e função com a modalidade protética adequada ao caso.</x:v>
      </x:c>
      <x:c r="Q35" s="14" t="str">
        <x:v>Tipos realmente oferecidos; indicação; planejamento; materiais; adaptação; manutenção; FAQ; CTA</x:v>
      </x:c>
      <x:c r="R35" s="14" t="str">
        <x:v>Florianópolis no title; Ingleses no bloco local.</x:v>
      </x:c>
      <x:c r="S35" s="14" t="str">
        <x:v>index</x:v>
      </x:c>
      <x:c r="T35" s="14" t="str">
        <x:v>Sim</x:v>
      </x:c>
      <x:c r="U35" s="14" t="str">
        <x:v>treatment</x:v>
      </x:c>
      <x:c r="V35" s="14" t="str">
        <x:v>Lista final + menções em Reabilitação/Implantes; confirmar tipos</x:v>
      </x:c>
      <x:c r="W35" s="14" t="str">
        <x:v>Reabilitação; Implantes; Protocolo; Manutenção</x:v>
      </x:c>
      <x:c r="X35" s="14" t="str">
        <x:v>Próteses/casos próprios</x:v>
      </x:c>
      <x:c r="Y35" s="14" t="str">
        <x:v>Não confundir com Prótese Protocolo, que terá página específica.</x:v>
      </x:c>
      <x:c r="Z35" s="14" t="str">
        <x:v>https://seranking.com/</x:v>
      </x:c>
    </x:row>
    <x:row r="36">
      <x:c r="A36" s="14" t="n">
        <x:v>35</x:v>
      </x:c>
      <x:c r="B36" s="14" t="str">
        <x:v>Odontologia Estética</x:v>
      </x:c>
      <x:c r="C36" s="14" t="str">
        <x:v>Tratamento</x:v>
      </x:c>
      <x:c r="D36" s="14" t="str">
        <x:v>Clareamento Dental</x:v>
      </x:c>
      <x:c r="E36" s="14" t="str">
        <x:v>/clareamento-dental</x:v>
      </x:c>
      <x:c r="F36" s="14" t="str">
        <x:v>P1</x:v>
      </x:c>
      <x:c r="G36" s="14" t="str">
        <x:v>DESENVOLVER AGORA</x:v>
      </x:c>
      <x:c r="H36" s="14" t="str">
        <x:v>Publicar após copy</x:v>
      </x:c>
      <x:c r="I36" s="14" t="str">
        <x:v>clareamento dental</x:v>
      </x:c>
      <x:c r="J36" s="14" t="str">
        <x:v>'clareamento' 14.800/mês L/C; 'clareamento dental valor' 4.400; 'clareamento de consultório' 1.100 (BR)</x:v>
      </x:c>
      <x:c r="K36" s="14" t="str">
        <x:v>KD 68 / 52 / 55</x:v>
      </x:c>
      <x:c r="L36" s="14" t="str">
        <x:v>'clareamento' apresenta Local Pack</x:v>
      </x:c>
      <x:c r="M36" s="14" t="str">
        <x:v>Local + Comercial + Informacional</x:v>
      </x:c>
      <x:c r="N36" s="14" t="str">
        <x:v>Clareamento Dental supervisionado</x:v>
      </x:c>
      <x:c r="O36" s="14" t="str">
        <x:v>Clareamento Dental em Florianópolis | Dra. Sara Michelon</x:v>
      </x:c>
      <x:c r="P36" s="14" t="str">
        <x:v>Melhorar a cor dos dentes com indicação e acompanhamento profissional.</x:v>
      </x:c>
      <x:c r="Q36" s="14" t="str">
        <x:v>Avaliação; técnicas oferecidas; consultório/caseiro supervisionado se aplicável; sensibilidade; duração; manutenção; FAQ; CTA</x:v>
      </x:c>
      <x:c r="R36" s="14" t="str">
        <x:v>Florianópolis no title; Ingleses no bloco local.</x:v>
      </x:c>
      <x:c r="S36" s="14" t="str">
        <x:v>index</x:v>
      </x:c>
      <x:c r="T36" s="14" t="str">
        <x:v>Sim</x:v>
      </x:c>
      <x:c r="U36" s="14" t="str">
        <x:v>treatment</x:v>
      </x:c>
      <x:c r="V36" s="14" t="str">
        <x:v>Lista final; Sara ainda enviará conteúdo</x:v>
      </x:c>
      <x:c r="W36" s="14" t="str">
        <x:v>Facetas Resina; Porcelana/Lentes; Manutenção</x:v>
      </x:c>
      <x:c r="X36" s="14" t="str">
        <x:v>Sorriso + kit/procedimento próprio</x:v>
      </x:c>
      <x:c r="Y36" s="14" t="str">
        <x:v>Capturar intenção de 'clareamento de consultório' sem competir com produtos/DIY.</x:v>
      </x:c>
      <x:c r="Z36" s="14" t="str">
        <x:v>https://seranking.com/</x:v>
      </x:c>
    </x:row>
    <x:row r="37">
      <x:c r="A37" s="14" t="n">
        <x:v>36</x:v>
      </x:c>
      <x:c r="B37" s="14" t="str">
        <x:v>Odontologia Restauradora</x:v>
      </x:c>
      <x:c r="C37" s="14" t="str">
        <x:v>Tratamento</x:v>
      </x:c>
      <x:c r="D37" s="14" t="str">
        <x:v>Inlays e Onlays / Restaurações Indiretas</x:v>
      </x:c>
      <x:c r="E37" s="14" t="str">
        <x:v>/inlays-onlays</x:v>
      </x:c>
      <x:c r="F37" s="14" t="str">
        <x:v>P2</x:v>
      </x:c>
      <x:c r="G37" s="14" t="str">
        <x:v>DESENVOLVER TEMPLATE + CMS</x:v>
      </x:c>
      <x:c r="H37" s="14" t="str">
        <x:v>Publicar após copy</x:v>
      </x:c>
      <x:c r="I37" s="14" t="str">
        <x:v>onlay dental</x:v>
      </x:c>
      <x:c r="J37" s="14" t="str">
        <x:v>'onlay' 6.600/mês; 'inlay dental' 480; 'onlay de porcelana' 390 (BR)</x:v>
      </x:c>
      <x:c r="K37" s="14" t="str">
        <x:v>KD 49 / 25 / 6</x:v>
      </x:c>
      <x:c r="L37" s="14" t="str">
        <x:v>Predominantemente informacional</x:v>
      </x:c>
      <x:c r="M37" s="14" t="str">
        <x:v>Informacional + Comercial</x:v>
      </x:c>
      <x:c r="N37" s="14" t="str">
        <x:v>Inlays e Onlays: restaurações indiretas para recuperar dentes</x:v>
      </x:c>
      <x:c r="O37" s="14" t="str">
        <x:v>Inlays e Onlays em Florianópolis | Restaurações Indiretas</x:v>
      </x:c>
      <x:c r="P37" s="14" t="str">
        <x:v>Explicar em linguagem simples quando um bloco/restauração indireta pode ser indicado.</x:v>
      </x:c>
      <x:c r="Q37" s="14" t="str">
        <x:v>O que são; inlay x onlay; indicações; material; etapas; pós-canal/reabilitação; manutenção; FAQ; CTA</x:v>
      </x:c>
      <x:c r="R37" s="14" t="str">
        <x:v>Florianópolis só no title/bloco local.</x:v>
      </x:c>
      <x:c r="S37" s="14" t="str">
        <x:v>index</x:v>
      </x:c>
      <x:c r="T37" s="14" t="str">
        <x:v>Sim</x:v>
      </x:c>
      <x:c r="U37" s="14" t="str">
        <x:v>treatment</x:v>
      </x:c>
      <x:c r="V37" s="14" t="str">
        <x:v>Lista final; conteúdo a chegar</x:v>
      </x:c>
      <x:c r="W37" s="14" t="str">
        <x:v>Canal; Reabilitação; Porcelana; Manutenção</x:v>
      </x:c>
      <x:c r="X37" s="14" t="str">
        <x:v>Ilustração/peça clínica</x:v>
      </x:c>
      <x:c r="Y37" s="14" t="str">
        <x:v>Termo técnico tem volume, mas copy precisa traduzir para linguagem do paciente.</x:v>
      </x:c>
      <x:c r="Z37" s="14" t="str">
        <x:v>https://seranking.com/</x:v>
      </x:c>
    </x:row>
    <x:row r="38">
      <x:c r="A38" s="14" t="n">
        <x:v>37</x:v>
      </x:c>
      <x:c r="B38" s="14" t="str">
        <x:v>Odontologia Estética</x:v>
      </x:c>
      <x:c r="C38" s="14" t="str">
        <x:v>Tratamento</x:v>
      </x:c>
      <x:c r="D38" s="14" t="str">
        <x:v>Fechamento de Diastema</x:v>
      </x:c>
      <x:c r="E38" s="14" t="str">
        <x:v>/fechamento-de-diastemas</x:v>
      </x:c>
      <x:c r="F38" s="14" t="str">
        <x:v>P2</x:v>
      </x:c>
      <x:c r="G38" s="14" t="str">
        <x:v>DESENVOLVER TEMPLATE + CMS</x:v>
      </x:c>
      <x:c r="H38" s="14" t="str">
        <x:v>Publicar após copy</x:v>
      </x:c>
      <x:c r="I38" s="14" t="str">
        <x:v>fechamento de diastema</x:v>
      </x:c>
      <x:c r="J38" s="14" t="str">
        <x:v>'dentes separados' 1.600; 'dente separado' 1.500; 'fechar diastema com resina valor' 480 (BR)</x:v>
      </x:c>
      <x:c r="K38" s="14" t="str">
        <x:v>KD 54 / 54 / 5</x:v>
      </x:c>
      <x:c r="L38" s="14" t="str">
        <x:v>Intenção majoritariamente informacional; tratamento pode ser resina ou ortodontia</x:v>
      </x:c>
      <x:c r="M38" s="14" t="str">
        <x:v>Informacional + Comercial</x:v>
      </x:c>
      <x:c r="N38" s="14" t="str">
        <x:v>Fechamento de Diastema: opções para dentes separados</x:v>
      </x:c>
      <x:c r="O38" s="14" t="str">
        <x:v>Fechamento de Diastema em Florianópolis | Resina e Ortodontia</x:v>
      </x:c>
      <x:c r="P38" s="14" t="str">
        <x:v>Explicar primeiro por que há espaço e qual abordagem é indicada: resina, ortodontia ou combinação.</x:v>
      </x:c>
      <x:c r="Q38" s="14" t="str">
        <x:v>O que é; causas/avaliação; resina; ortodontia; quando não fechar; FAQ; CTA</x:v>
      </x:c>
      <x:c r="R38" s="14" t="str">
        <x:v>Florianópolis no title.</x:v>
      </x:c>
      <x:c r="S38" s="14" t="str">
        <x:v>index</x:v>
      </x:c>
      <x:c r="T38" s="14" t="str">
        <x:v>Sim</x:v>
      </x:c>
      <x:c r="U38" s="14" t="str">
        <x:v>treatment</x:v>
      </x:c>
      <x:c r="V38" s="14" t="str">
        <x:v>Lista final + facetas/ortodontia no DOCX</x:v>
      </x:c>
      <x:c r="W38" s="14" t="str">
        <x:v>Facetas Resina; Ortodontia; Reabilitação</x:v>
      </x:c>
      <x:c r="X38" s="14" t="str">
        <x:v>Caso clínico de espaço/resultado</x:v>
      </x:c>
      <x:c r="Y38" s="14" t="str">
        <x:v>Usar 'dentes separados' nos H2/FAQ porque é linguagem de busca do paciente.</x:v>
      </x:c>
      <x:c r="Z38" s="14" t="str">
        <x:v>https://seranking.com/</x:v>
      </x:c>
    </x:row>
    <x:row r="39">
      <x:c r="A39" s="14" t="n">
        <x:v>38</x:v>
      </x:c>
      <x:c r="B39" s="14" t="str">
        <x:v>Cirurgia Oral</x:v>
      </x:c>
      <x:c r="C39" s="14" t="str">
        <x:v>Tratamento</x:v>
      </x:c>
      <x:c r="D39" s="14" t="str">
        <x:v>Bichectomia</x:v>
      </x:c>
      <x:c r="E39" s="14" t="str">
        <x:v>/bichectomia</x:v>
      </x:c>
      <x:c r="F39" s="14" t="str">
        <x:v>P2</x:v>
      </x:c>
      <x:c r="G39" s="14" t="str">
        <x:v>DESENVOLVER TEMPLATE + CMS</x:v>
      </x:c>
      <x:c r="H39" s="14" t="str">
        <x:v>Publicar após conteúdo clínico final</x:v>
      </x:c>
      <x:c r="I39" s="14" t="str">
        <x:v>bichectomia</x:v>
      </x:c>
      <x:c r="J39" s="14" t="str">
        <x:v>'bichectomia preço' 480; 'recuperação' 480; 'bichectomia envelhece' 590; 'cirurgia de bichectomia' 390 (BR)</x:v>
      </x:c>
      <x:c r="K39" s="14" t="str">
        <x:v>KD 4–6</x:v>
      </x:c>
      <x:c r="L39" s="14" t="str">
        <x:v>Principalmente informacional; precisa autoridade clínica</x:v>
      </x:c>
      <x:c r="M39" s="14" t="str">
        <x:v>Informacional + Comercial</x:v>
      </x:c>
      <x:c r="N39" s="14" t="str">
        <x:v>Bichectomia: indicação, limites e recuperação</x:v>
      </x:c>
      <x:c r="O39" s="14" t="str">
        <x:v>Bichectomia em Florianópolis | Avaliação Individual</x:v>
      </x:c>
      <x:c r="P39" s="14" t="str">
        <x:v>Explicar indicação e limites sem promessas estéticas.</x:v>
      </x:c>
      <x:c r="Q39" s="14" t="str">
        <x:v>O que é; indicação; quem não deve; planejamento; cirurgia; recuperação; envelhecimento/limites; FAQ; CTA</x:v>
      </x:c>
      <x:c r="R39" s="14" t="str">
        <x:v>Florianópolis no title.</x:v>
      </x:c>
      <x:c r="S39" s="14" t="str">
        <x:v>index</x:v>
      </x:c>
      <x:c r="T39" s="14" t="str">
        <x:v>Avaliar antes de mídia</x:v>
      </x:c>
      <x:c r="U39" s="14" t="str">
        <x:v>treatment</x:v>
      </x:c>
      <x:c r="V39" s="14" t="str">
        <x:v>Lista final; conteúdo não enviado no DOCX</x:v>
      </x:c>
      <x:c r="W39" s="14" t="str">
        <x:v>Cirurgia/Equipe; Harmonização (contextual)</x:v>
      </x:c>
      <x:c r="X39" s="14" t="str">
        <x:v>Profissional/cirurgia discreta</x:v>
      </x:c>
      <x:c r="Y39" s="14" t="str">
        <x:v>Não priorizar antes dos P0/P1; conteúdo YMYL precisa aprovação clínica.</x:v>
      </x:c>
      <x:c r="Z39" s="14" t="str">
        <x:v>https://seranking.com/</x:v>
      </x:c>
    </x:row>
    <x:row r="40">
      <x:c r="A40" s="14" t="n">
        <x:v>39</x:v>
      </x:c>
      <x:c r="B40" s="14" t="str">
        <x:v>Conteúdo</x:v>
      </x:c>
      <x:c r="C40" s="14" t="str">
        <x:v>Artigo histórico</x:v>
      </x:c>
      <x:c r="D40" s="14" t="str">
        <x:v>Como Escovar os Dentes Corretamente</x:v>
      </x:c>
      <x:c r="E40" s="14" t="str">
        <x:v>/como-escovar-os-dentes</x:v>
      </x:c>
      <x:c r="F40" s="14" t="str">
        <x:v>P0</x:v>
      </x:c>
      <x:c r="G40" s="14" t="str">
        <x:v>MIGRAR AGORA</x:v>
      </x:c>
      <x:c r="H40" s="14" t="str">
        <x:v>Publicar no launch</x:v>
      </x:c>
      <x:c r="I40" s="14" t="str">
        <x:v>técnica de Bass</x:v>
      </x:c>
      <x:c r="J40" s="14" t="str">
        <x:v>590/mês; página atual posição 1; 'técnica de escovação Stillman' pos.10, 40/mês</x:v>
      </x:c>
      <x:c r="K40" s="14" t="str">
        <x:v>KD 8 / 7</x:v>
      </x:c>
      <x:c r="L40" s="14" t="str">
        <x:v>Patrimônio orgânico existente</x:v>
      </x:c>
      <x:c r="M40" s="14" t="str">
        <x:v>Informacional</x:v>
      </x:c>
      <x:c r="N40" s="14" t="str">
        <x:v>Como escovar os dentes corretamente</x:v>
      </x:c>
      <x:c r="O40" s="14" t="str">
        <x:v>Como Escovar os Dentes Corretamente | Dra. Sara Michelon</x:v>
      </x:c>
      <x:c r="P40" s="14" t="str">
        <x:v>Preservar conteúdo útil, revisar e melhorar autoria/links.</x:v>
      </x:c>
      <x:c r="Q40" s="14" t="str">
        <x:v>Artigo; técnicas; higiene; revisão clínica; relacionados</x:v>
      </x:c>
      <x:c r="R40" s="14" t="str">
        <x:v>Não forçar localidade; artigo nacional.</x:v>
      </x:c>
      <x:c r="S40" s="14" t="str">
        <x:v>index</x:v>
      </x:c>
      <x:c r="T40" s="14" t="str">
        <x:v>Não</x:v>
      </x:c>
      <x:c r="U40" s="14" t="str">
        <x:v>article</x:v>
      </x:c>
      <x:c r="V40" s="14" t="str">
        <x:v>Página histórica atual</x:v>
      </x:c>
      <x:c r="W40" s="14" t="str">
        <x:v>Limpeza; Periodontia; Manutenção</x:v>
      </x:c>
      <x:c r="X40" s="14" t="str">
        <x:v>Ilustração/higiene</x:v>
      </x:c>
      <x:c r="Y40" s="14" t="str">
        <x:v>Não mudar URL.</x:v>
      </x:c>
      <x:c r="Z40" s="14" t="str">
        <x:v>https://seranking.com/</x:v>
      </x:c>
    </x:row>
    <x:row r="41">
      <x:c r="A41" s="14" t="n">
        <x:v>40</x:v>
      </x:c>
      <x:c r="B41" s="14" t="str">
        <x:v>Legal</x:v>
      </x:c>
      <x:c r="C41" s="14" t="str">
        <x:v>Legal</x:v>
      </x:c>
      <x:c r="D41" s="14" t="str">
        <x:v>Política de Privacidade</x:v>
      </x:c>
      <x:c r="E41" s="14" t="str">
        <x:v>/politica-de-privacidade</x:v>
      </x:c>
      <x:c r="F41" s="14" t="str">
        <x:v>P1</x:v>
      </x:c>
      <x:c r="G41" s="14" t="str">
        <x:v>DESENVOLVER AGORA</x:v>
      </x:c>
      <x:c r="H41" s="14" t="str">
        <x:v>Publicar no launch</x:v>
      </x:c>
      <x:c r="I41" s="14" t="str">
        <x:v>—</x:v>
      </x:c>
      <x:c r="J41" s="14" t="str">
        <x:v>—</x:v>
      </x:c>
      <x:c r="K41" s="14" t="str">
        <x:v>—</x:v>
      </x:c>
      <x:c r="L41" s="14" t="str">
        <x:v>—</x:v>
      </x:c>
      <x:c r="M41" s="14" t="str">
        <x:v>Navegacional</x:v>
      </x:c>
      <x:c r="N41" s="14" t="str">
        <x:v>Política de Privacidade</x:v>
      </x:c>
      <x:c r="O41" s="14" t="str">
        <x:v>Política de Privacidade | Dra. Sara Michelon</x:v>
      </x:c>
      <x:c r="P41" s="14" t="str">
        <x:v>Documento legal claro.</x:v>
      </x:c>
      <x:c r="Q41" s="14" t="str">
        <x:v>LGPD; dados; formulários; analytics; contato</x:v>
      </x:c>
      <x:c r="R41" s="14" t="str">
        <x:v>—</x:v>
      </x:c>
      <x:c r="S41" s="14" t="str">
        <x:v>noindex</x:v>
      </x:c>
      <x:c r="T41" s="14" t="str">
        <x:v>Não</x:v>
      </x:c>
      <x:c r="U41" s="14" t="str">
        <x:v>legal</x:v>
      </x:c>
      <x:c r="V41" s="14" t="str">
        <x:v>Novo</x:v>
      </x:c>
      <x:c r="W41" s="14" t="str">
        <x:v>Footer</x:v>
      </x:c>
      <x:c r="X41" s="14" t="str">
        <x:v>—</x:v>
      </x:c>
      <x:c r="Y41" s="14" t="str">
        <x:v>Sem objetivo SEO.</x:v>
      </x:c>
      <x:c r="Z41" s="14" t="str">
        <x:v>—</x:v>
      </x:c>
    </x:row>
    <x:row r="42">
      <x:c r="A42" s="14" t="n">
        <x:v>41</x:v>
      </x:c>
      <x:c r="B42" s="14" t="str">
        <x:v>Legal</x:v>
      </x:c>
      <x:c r="C42" s="14" t="str">
        <x:v>Legal</x:v>
      </x:c>
      <x:c r="D42" s="14" t="str">
        <x:v>Política de Cookies</x:v>
      </x:c>
      <x:c r="E42" s="14" t="str">
        <x:v>/politica-de-cookies</x:v>
      </x:c>
      <x:c r="F42" s="14" t="str">
        <x:v>P1</x:v>
      </x:c>
      <x:c r="G42" s="14" t="str">
        <x:v>DESENVOLVER AGORA</x:v>
      </x:c>
      <x:c r="H42" s="14" t="str">
        <x:v>Publicar no launch</x:v>
      </x:c>
      <x:c r="I42" s="14" t="str">
        <x:v>—</x:v>
      </x:c>
      <x:c r="J42" s="14" t="str">
        <x:v>—</x:v>
      </x:c>
      <x:c r="K42" s="14" t="str">
        <x:v>—</x:v>
      </x:c>
      <x:c r="L42" s="14" t="str">
        <x:v>—</x:v>
      </x:c>
      <x:c r="M42" s="14" t="str">
        <x:v>Navegacional</x:v>
      </x:c>
      <x:c r="N42" s="14" t="str">
        <x:v>Política de Cookies</x:v>
      </x:c>
      <x:c r="O42" s="14" t="str">
        <x:v>Política de Cookies | Dra. Sara Michelon</x:v>
      </x:c>
      <x:c r="P42" s="14" t="str">
        <x:v>Explicar tracking e consentimento.</x:v>
      </x:c>
      <x:c r="Q42" s="14" t="str">
        <x:v>Cookies; GA4/GTM; preferências</x:v>
      </x:c>
      <x:c r="R42" s="14" t="str">
        <x:v>—</x:v>
      </x:c>
      <x:c r="S42" s="14" t="str">
        <x:v>noindex</x:v>
      </x:c>
      <x:c r="T42" s="14" t="str">
        <x:v>Não</x:v>
      </x:c>
      <x:c r="U42" s="14" t="str">
        <x:v>legal</x:v>
      </x:c>
      <x:c r="V42" s="14" t="str">
        <x:v>Novo</x:v>
      </x:c>
      <x:c r="W42" s="14" t="str">
        <x:v>Footer</x:v>
      </x:c>
      <x:c r="X42" s="14" t="str">
        <x:v>—</x:v>
      </x:c>
      <x:c r="Y42" s="14" t="str">
        <x:v>Alinhar com implementação de consentimento.</x:v>
      </x:c>
      <x:c r="Z42" s="14" t="str">
        <x:v>—</x:v>
      </x:c>
    </x:row>
    <x:row r="43">
      <x:c r="A43" s="14" t="n">
        <x:v>42</x:v>
      </x:c>
      <x:c r="B43" s="14" t="str">
        <x:v>Sistema</x:v>
      </x:c>
      <x:c r="C43" s="14" t="str">
        <x:v>Sistema</x:v>
      </x:c>
      <x:c r="D43" s="14" t="str">
        <x:v>Página 404</x:v>
      </x:c>
      <x:c r="E43" s="14" t="str">
        <x:v>/404</x:v>
      </x:c>
      <x:c r="F43" s="14" t="str">
        <x:v>P1</x:v>
      </x:c>
      <x:c r="G43" s="14" t="str">
        <x:v>DESENVOLVER AGORA</x:v>
      </x:c>
      <x:c r="H43" s="14" t="str">
        <x:v>Publicar no launch</x:v>
      </x:c>
      <x:c r="I43" s="14" t="str">
        <x:v>—</x:v>
      </x:c>
      <x:c r="J43" s="14" t="str">
        <x:v>—</x:v>
      </x:c>
      <x:c r="K43" s="14" t="str">
        <x:v>—</x:v>
      </x:c>
      <x:c r="L43" s="14" t="str">
        <x:v>—</x:v>
      </x:c>
      <x:c r="M43" s="14" t="str">
        <x:v>—</x:v>
      </x:c>
      <x:c r="N43" s="14" t="str">
        <x:v>Página não encontrada</x:v>
      </x:c>
      <x:c r="O43" s="14" t="str">
        <x:v>Página não encontrada | Dra. Sara Michelon</x:v>
      </x:c>
      <x:c r="P43" s="14" t="str">
        <x:v>Recuperar navegação sem soft-404.</x:v>
      </x:c>
      <x:c r="Q43" s="14" t="str">
        <x:v>Busca/links para Home, tratamentos, contato</x:v>
      </x:c>
      <x:c r="R43" s="14" t="str">
        <x:v>—</x:v>
      </x:c>
      <x:c r="S43" s="14" t="str">
        <x:v>noindex</x:v>
      </x:c>
      <x:c r="T43" s="14" t="str">
        <x:v>Não</x:v>
      </x:c>
      <x:c r="U43" s="14" t="str">
        <x:v>system</x:v>
      </x:c>
      <x:c r="V43" s="14" t="str">
        <x:v>Novo</x:v>
      </x:c>
      <x:c r="W43" s="14" t="str">
        <x:v>Home; Conteúdos; Contato</x:v>
      </x:c>
      <x:c r="X43" s="14" t="str">
        <x:v>—</x:v>
      </x:c>
      <x:c r="Y43" s="14" t="str">
        <x:v>HTTP 404 real.</x:v>
      </x:c>
      <x:c r="Z43" s="14" t="str">
        <x:v>—</x:v>
      </x:c>
    </x:row>
    <x:row r="44">
      <x:c r="A44" s="14" t="n">
        <x:v>43</x:v>
      </x:c>
      <x:c r="B44" s="14" t="str">
        <x:v>Sistema</x:v>
      </x:c>
      <x:c r="C44" s="14" t="str">
        <x:v>Template</x:v>
      </x:c>
      <x:c r="D44" s="14" t="str">
        <x:v>Template modular de Tratamento</x:v>
      </x:c>
      <x:c r="E44" s="14" t="str">
        <x:v>/[slug]</x:v>
      </x:c>
      <x:c r="F44" s="14" t="str">
        <x:v>P0</x:v>
      </x:c>
      <x:c r="G44" s="14" t="str">
        <x:v>DESENVOLVER AGORA</x:v>
      </x:c>
      <x:c r="H44" s="14" t="str">
        <x:v>Base do site</x:v>
      </x:c>
      <x:c r="I44" s="14" t="str">
        <x:v>dinâmico</x:v>
      </x:c>
      <x:c r="J44" s="14" t="str">
        <x:v>—</x:v>
      </x:c>
      <x:c r="K44" s="14" t="str">
        <x:v>—</x:v>
      </x:c>
      <x:c r="L44" s="14" t="str">
        <x:v>—</x:v>
      </x:c>
      <x:c r="M44" s="14" t="str">
        <x:v>Comercial + Informacional</x:v>
      </x:c>
      <x:c r="N44" s="14" t="str">
        <x:v>Dinâmico</x:v>
      </x:c>
      <x:c r="O44" s="14" t="str">
        <x:v>Dinâmico</x:v>
      </x:c>
      <x:c r="P44" s="14" t="str">
        <x:v>Hero e módulos variáveis conforme intenção clínica e busca.</x:v>
      </x:c>
      <x:c r="Q44" s="14" t="str">
        <x:v>Campos estruturais + contentSections[]; FAQ; profissional; aftercare; relacionados; local; CTA</x:v>
      </x:c>
      <x:c r="R44" s="14" t="str">
        <x:v>Geo configurável por página.</x:v>
      </x:c>
      <x:c r="S44" s="14" t="str">
        <x:v>dinâmico</x:v>
      </x:c>
      <x:c r="T44" s="14" t="str">
        <x:v>dinâmico</x:v>
      </x:c>
      <x:c r="U44" s="14" t="str">
        <x:v>treatment</x:v>
      </x:c>
      <x:c r="V44" s="14" t="str">
        <x:v>Todo DOCX Sara</x:v>
      </x:c>
      <x:c r="W44" s="14" t="str">
        <x:v>Dinâmico</x:v>
      </x:c>
      <x:c r="X44" s="14" t="str">
        <x:v>Dinâmico</x:v>
      </x:c>
      <x:c r="Y44" s="14" t="str">
        <x:v>Não usar estrutura H2 rígida; material da Sara exige blocos diferentes por tratamento.</x:v>
      </x:c>
      <x:c r="Z44" s="14" t="str">
        <x:v>—</x:v>
      </x:c>
    </x:row>
    <x:row r="45">
      <x:c r="A45" s="14" t="n">
        <x:v>44</x:v>
      </x:c>
      <x:c r="B45" s="14" t="str">
        <x:v>Sistema</x:v>
      </x:c>
      <x:c r="C45" s="14" t="str">
        <x:v>Template</x:v>
      </x:c>
      <x:c r="D45" s="14" t="str">
        <x:v>Template de Artigo</x:v>
      </x:c>
      <x:c r="E45" s="14" t="str">
        <x:v>/conteudos/[slug]</x:v>
      </x:c>
      <x:c r="F45" s="14" t="str">
        <x:v>P1</x:v>
      </x:c>
      <x:c r="G45" s="14" t="str">
        <x:v>DESENVOLVER AGORA</x:v>
      </x:c>
      <x:c r="H45" s="14" t="str">
        <x:v>Base do blog</x:v>
      </x:c>
      <x:c r="I45" s="14" t="str">
        <x:v>dinâmico</x:v>
      </x:c>
      <x:c r="J45" s="14" t="str">
        <x:v>—</x:v>
      </x:c>
      <x:c r="K45" s="14" t="str">
        <x:v>—</x:v>
      </x:c>
      <x:c r="L45" s="14" t="str">
        <x:v>—</x:v>
      </x:c>
      <x:c r="M45" s="14" t="str">
        <x:v>Informacional</x:v>
      </x:c>
      <x:c r="N45" s="14" t="str">
        <x:v>Dinâmico</x:v>
      </x:c>
      <x:c r="O45" s="14" t="str">
        <x:v>Dinâmico</x:v>
      </x:c>
      <x:c r="P45" s="14" t="str">
        <x:v>Conteúdo clínico útil com autoria/revisão e ponte para serviço.</x:v>
      </x:c>
      <x:c r="Q45" s="14" t="str">
        <x:v>Hero; resumo; body modular; autor; revisor; data; referências; FAQ opcional; relacionados; CTA</x:v>
      </x:c>
      <x:c r="R45" s="14" t="str">
        <x:v>Geo somente quando relevante.</x:v>
      </x:c>
      <x:c r="S45" s="14" t="str">
        <x:v>dinâmico</x:v>
      </x:c>
      <x:c r="T45" s="14" t="str">
        <x:v>Não</x:v>
      </x:c>
      <x:c r="U45" s="14" t="str">
        <x:v>article</x:v>
      </x:c>
      <x:c r="V45" s="14" t="str">
        <x:v>Conteúdos futuros + histórico</x:v>
      </x:c>
      <x:c r="W45" s="14" t="str">
        <x:v>Tratamentos relacionados</x:v>
      </x:c>
      <x:c r="X45" s="14" t="str">
        <x:v>Capas + imagens editoriais</x:v>
      </x:c>
      <x:c r="Y45" s="14" t="str">
        <x:v>Preservar slugs históricos fora de /conteudos quando necessário.</x:v>
      </x:c>
      <x:c r="Z45" s="14" t="str">
        <x:v>—</x:v>
      </x:c>
    </x:row>
    <x:row r="46">
      <x:c r="A46" s="14" t="n">
        <x:v>45</x:v>
      </x:c>
      <x:c r="B46" s="14" t="str">
        <x:v>Sistema</x:v>
      </x:c>
      <x:c r="C46" s="14" t="str">
        <x:v>Template</x:v>
      </x:c>
      <x:c r="D46" s="14" t="str">
        <x:v>Template de Profissional</x:v>
      </x:c>
      <x:c r="E46" s="14" t="str">
        <x:v>/equipe/[slug]</x:v>
      </x:c>
      <x:c r="F46" s="14" t="str">
        <x:v>P1</x:v>
      </x:c>
      <x:c r="G46" s="14" t="str">
        <x:v>DESENVOLVER AGORA</x:v>
      </x:c>
      <x:c r="H46" s="14" t="str">
        <x:v>Base dos perfis</x:v>
      </x:c>
      <x:c r="I46" s="14" t="str">
        <x:v>dinâmico</x:v>
      </x:c>
      <x:c r="J46" s="14" t="str">
        <x:v>—</x:v>
      </x:c>
      <x:c r="K46" s="14" t="str">
        <x:v>—</x:v>
      </x:c>
      <x:c r="L46" s="14" t="str">
        <x:v>—</x:v>
      </x:c>
      <x:c r="M46" s="14" t="str">
        <x:v>Navegacional + Confiança</x:v>
      </x:c>
      <x:c r="N46" s="14" t="str">
        <x:v>Dinâmico</x:v>
      </x:c>
      <x:c r="O46" s="14" t="str">
        <x:v>Dinâmico</x:v>
      </x:c>
      <x:c r="P46" s="14" t="str">
        <x:v>Credenciais e vínculo entre profissional, conteúdo e tratamentos.</x:v>
      </x:c>
      <x:c r="Q46" s="14" t="str">
        <x:v>Bio; formação; CRO; especialidades; tratamentos; artigos; CTA</x:v>
      </x:c>
      <x:c r="R46" s="14" t="str">
        <x:v>Florianópolis factual.</x:v>
      </x:c>
      <x:c r="S46" s="14" t="str">
        <x:v>dinâmico</x:v>
      </x:c>
      <x:c r="T46" s="14" t="str">
        <x:v>Não</x:v>
      </x:c>
      <x:c r="U46" s="14" t="str">
        <x:v>professional</x:v>
      </x:c>
      <x:c r="V46" s="14" t="str">
        <x:v>Dados da equipe</x:v>
      </x:c>
      <x:c r="W46" s="14" t="str">
        <x:v>Tratamentos/artigos</x:v>
      </x:c>
      <x:c r="X46" s="14" t="str">
        <x:v>Retrato</x:v>
      </x:c>
      <x:c r="Y46" s="14" t="str">
        <x:v>Schema Person e vínculos de autoria/revisão.</x:v>
      </x:c>
      <x:c r="Z46" s="14" t="str">
        <x:v>—</x:v>
      </x:c>
    </x:row>
  </x:sheetData>
  <x:conditionalFormatting sqref="F2:F46">
    <x:cfRule type="expression" dxfId="0" priority="1">
      <x:formula>F2="P0"</x:formula>
    </x:cfRule>
    <x:cfRule type="expression" dxfId="1" priority="2">
      <x:formula>F2="P1"</x:formula>
    </x:cfRule>
    <x:cfRule type="expression" dxfId="2" priority="3">
      <x:formula>F2="P2"</x:formula>
    </x:cfRule>
  </x:conditionalFormatting>
  <x:conditionalFormatting sqref="G2:G46">
    <x:cfRule type="expression" dxfId="3" priority="4">
      <x:formula>ISNUMBER(SEARCH("AGORA",G2))</x:formula>
    </x:cfRule>
    <x:cfRule type="expression" dxfId="4" priority="5">
      <x:formula>ISNUMBER(SEARCH("TEMPLATE",G2))</x:formula>
    </x:cfRule>
  </x:conditionalFormatting>
  <x:dataValidations count="1">
    <x:dataValidation type="list" sqref="F2:F46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eae161a3cd478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8" customHeight="1">
      <x:c r="A1" s="17" t="str">
        <x:v>Matriz Mestra V4 — Site Dra. Sara Michelon</x:v>
      </x:c>
      <x:c r="B1" s="17"/>
      <x:c r="C1" s="17"/>
      <x:c r="D1" s="17"/>
      <x:c r="E1" s="17"/>
      <x:c r="F1" s="17"/>
      <x:c r="G1" s="17"/>
      <x:c r="H1" s="17"/>
    </x:row>
    <x:row r="3">
      <x:c r="A3" s="24" t="str">
        <x:v>Indicador</x:v>
      </x:c>
      <x:c r="B3" s="24" t="str">
        <x:v>Valor</x:v>
      </x:c>
      <x:c r="D3" s="21" t="str">
        <x:v>Gate de desenvolvimento</x:v>
      </x:c>
      <x:c r="E3" s="21"/>
      <x:c r="F3" s="21"/>
      <x:c r="G3" s="21"/>
      <x:c r="H3" s="21"/>
    </x:row>
    <x:row r="4">
      <x:c r="A4" s="12" t="str">
        <x:v>Itens de arquitetura</x:v>
      </x:c>
      <x:c r="B4" s="12" t="n">
        <x:f>COUNTA('02 Arquitetura Final'!A2:A46)</x:f>
        <x:v>45</x:v>
      </x:c>
      <x:c r="D4" s="28" t="str">
        <x:v>STATUS: PRONTO PARA INICIAR FRONTEND + SANITY.
Não há mais decisão de arquitetura que justifique segurar o código. As pendências remanescentes são de conteúdo, credenciais, assets, Search Console e revisão de políticas antes da ativação de mídia — todas podem correr em paralelo ao desenvolvimento.
Decisões V4: Reabilitação Oral volta como P0; Bruxismo/DTM entra; Cirurgia Gengival ganha URL própria; Prótese Protocolo ganha URL própria; Estética se desdobra em Preenchimento Facial, Labial, Botox, Bioestimuladores e Perfiloplastia; Contorno e Equilíbrio vira linguagem de copy, não URL separada.</x:v>
      </x:c>
      <x:c r="E4" s="28"/>
      <x:c r="F4" s="28"/>
      <x:c r="G4" s="28"/>
      <x:c r="H4" s="28"/>
    </x:row>
    <x:row r="5">
      <x:c r="A5" s="12" t="str">
        <x:v>P0</x:v>
      </x:c>
      <x:c r="B5" s="12" t="n">
        <x:f>COUNTIF('02 Arquitetura Final'!F2:F46,"P0")</x:f>
        <x:v>25</x:v>
      </x:c>
      <x:c r="D5" s="28"/>
      <x:c r="E5" s="28"/>
      <x:c r="F5" s="28"/>
      <x:c r="G5" s="28"/>
      <x:c r="H5" s="28"/>
    </x:row>
    <x:row r="6">
      <x:c r="A6" s="12" t="str">
        <x:v>P1</x:v>
      </x:c>
      <x:c r="B6" s="12" t="n">
        <x:f>COUNTIF('02 Arquitetura Final'!F2:F46,"P1")</x:f>
        <x:v>17</x:v>
      </x:c>
      <x:c r="D6" s="28"/>
      <x:c r="E6" s="28"/>
      <x:c r="F6" s="28"/>
      <x:c r="G6" s="28"/>
      <x:c r="H6" s="28"/>
    </x:row>
    <x:row r="7">
      <x:c r="A7" s="12" t="str">
        <x:v>P2</x:v>
      </x:c>
      <x:c r="B7" s="12" t="n">
        <x:f>COUNTIF('02 Arquitetura Final'!F2:F46,"P2")</x:f>
        <x:v>3</x:v>
      </x:c>
      <x:c r="D7" s="28"/>
      <x:c r="E7" s="28"/>
      <x:c r="F7" s="28"/>
      <x:c r="G7" s="28"/>
      <x:c r="H7" s="28"/>
    </x:row>
    <x:row r="8">
      <x:c r="A8" s="12" t="str">
        <x:v>Rotas para desenvolver agora</x:v>
      </x:c>
      <x:c r="B8" s="12" t="n">
        <x:f>COUNTIF('02 Arquitetura Final'!G2:G46,"DESENVOLVER AGORA")+COUNTIF('02 Arquitetura Final'!G2:G46,"DESENVOLVER AGORA + redirect")+COUNTIF('02 Arquitetura Final'!G2:G46,"DESENVOLVER AGORA — preservar URL")+COUNTIF('02 Arquitetura Final'!G2:G46,"MIGRAR AGORA")</x:f>
        <x:v>42</x:v>
      </x:c>
      <x:c r="D8" s="28"/>
      <x:c r="E8" s="28"/>
      <x:c r="F8" s="28"/>
      <x:c r="G8" s="28"/>
      <x:c r="H8" s="28"/>
    </x:row>
    <x:row r="9">
      <x:c r="A9" s="12" t="str">
        <x:v>Tratamentos/serviços indexáveis</x:v>
      </x:c>
      <x:c r="B9" s="12" t="n">
        <x:f>COUNTIF('02 Arquitetura Final'!S2:S46,"index")</x:f>
        <x:v>38</x:v>
      </x:c>
      <x:c r="D9" s="28"/>
      <x:c r="E9" s="28"/>
      <x:c r="F9" s="28"/>
      <x:c r="G9" s="28"/>
      <x:c r="H9" s="28"/>
    </x:row>
    <x:row r="10">
      <x:c r="A10" s="12" t="str">
        <x:v>Páginas de Estética</x:v>
      </x:c>
      <x:c r="B10" s="12" t="n">
        <x:f>COUNTIF('02 Arquitetura Final'!B2:B46,"Estética Orofacial")</x:f>
        <x:v>6</x:v>
      </x:c>
      <x:c r="D10" s="28"/>
      <x:c r="E10" s="28"/>
      <x:c r="F10" s="28"/>
      <x:c r="G10" s="28"/>
      <x:c r="H10" s="28"/>
    </x:row>
    <x:row r="11">
      <x:c r="A11" s="12" t="str">
        <x:v>Pautas iniciais de Blog</x:v>
      </x:c>
      <x:c r="B11" s="12" t="n">
        <x:f>COUNTA('06 Blog e Conteúdo'!B2:B31)</x:f>
        <x:v>30</x:v>
      </x:c>
    </x:row>
    <x:row r="12">
      <x:c r="D12" s="21" t="str">
        <x:v>Como usar a V4</x:v>
      </x:c>
      <x:c r="E12" s="21"/>
      <x:c r="F12" s="21"/>
      <x:c r="G12" s="21"/>
      <x:c r="H12" s="21"/>
    </x:row>
    <x:row r="13">
      <x:c r="D13" s="34" t="str">
        <x:v>02 = fonte da verdade das rotas.
03 = taxonomia clínica/SEO.
04 = keyword map e intenção.
05 = copy SEO pronta para wireframe/componentes.
06 = backlog editorial.
07 = destinos de Google Ads.
08 = migração/redirects.
09–12 = critérios técnicos de implementação.
13 = evidências do SE Ranking usadas nas decisões.</x:v>
      </x:c>
      <x:c r="E13" s="34"/>
      <x:c r="F13" s="34"/>
      <x:c r="G13" s="34"/>
      <x:c r="H13" s="34"/>
    </x:row>
    <x:row r="14">
      <x:c r="A14" s="21" t="str">
        <x:v>Prioridade</x:v>
      </x:c>
      <x:c r="B14" s="21" t="str">
        <x:v>Qtd</x:v>
      </x:c>
      <x:c r="D14" s="34"/>
      <x:c r="E14" s="34"/>
      <x:c r="F14" s="34"/>
      <x:c r="G14" s="34"/>
      <x:c r="H14" s="34"/>
    </x:row>
    <x:row r="15">
      <x:c r="A15" t="str">
        <x:v>P0</x:v>
      </x:c>
      <x:c r="B15" t="n">
        <x:f>B5</x:f>
        <x:v>25</x:v>
      </x:c>
      <x:c r="D15" s="34"/>
      <x:c r="E15" s="34"/>
      <x:c r="F15" s="34"/>
      <x:c r="G15" s="34"/>
      <x:c r="H15" s="34"/>
    </x:row>
    <x:row r="16">
      <x:c r="A16" t="str">
        <x:v>P1</x:v>
      </x:c>
      <x:c r="B16" t="n">
        <x:f>B6</x:f>
        <x:v>17</x:v>
      </x:c>
      <x:c r="D16" s="34"/>
      <x:c r="E16" s="34"/>
      <x:c r="F16" s="34"/>
      <x:c r="G16" s="34"/>
      <x:c r="H16" s="34"/>
    </x:row>
    <x:row r="17">
      <x:c r="A17" t="str">
        <x:v>P2</x:v>
      </x:c>
      <x:c r="B17" t="n">
        <x:f>B7</x:f>
        <x:v>3</x:v>
      </x:c>
      <x:c r="D17" s="34"/>
      <x:c r="E17" s="34"/>
      <x:c r="F17" s="34"/>
      <x:c r="G17" s="34"/>
      <x:c r="H17" s="34"/>
    </x:row>
    <x:row r="18">
      <x:c r="D18" s="34"/>
      <x:c r="E18" s="34"/>
      <x:c r="F18" s="34"/>
      <x:c r="G18" s="34"/>
      <x:c r="H18" s="34"/>
    </x:row>
    <x:row r="19">
      <x:c r="D19" s="34"/>
      <x:c r="E19" s="34"/>
      <x:c r="F19" s="34"/>
      <x:c r="G19" s="34"/>
      <x:c r="H19" s="34"/>
    </x:row>
    <x:row r="21">
      <x:c r="A21" s="21" t="str">
        <x:v>Critério de pesquisa SEO</x:v>
      </x:c>
      <x:c r="B21" s="21"/>
      <x:c r="C21" s="21"/>
      <x:c r="D21" s="21"/>
      <x:c r="E21" s="21"/>
      <x:c r="F21" s="21"/>
      <x:c r="G21" s="21"/>
      <x:c r="H21" s="21"/>
    </x:row>
    <x:row r="22">
      <x:c r="A22" s="34" t="str">
        <x:v>A V4 não usa volume nacional isoladamente. Para nomenclatura, usamos a base BR do SE Ranking; para prioridade local, cruzamos consultas com Florianópolis, presença de Local Pack, rankings atuais do domínio e a natureza presencial/comercial do tratamento. Consultas de bairro/cidade com volume 0 ou ausente foram tratadas como dados esparsos — não como ausência de procura.</x:v>
      </x:c>
      <x:c r="B22" s="34"/>
      <x:c r="C22" s="34"/>
      <x:c r="D22" s="34"/>
      <x:c r="E22" s="34"/>
      <x:c r="F22" s="34"/>
      <x:c r="G22" s="34"/>
      <x:c r="H22" s="34"/>
    </x:row>
    <x:row r="23">
      <x:c r="A23" s="34"/>
      <x:c r="B23" s="34"/>
      <x:c r="C23" s="34"/>
      <x:c r="D23" s="34"/>
      <x:c r="E23" s="34"/>
      <x:c r="F23" s="34"/>
      <x:c r="G23" s="34"/>
      <x:c r="H23" s="34"/>
    </x:row>
    <x:row r="24">
      <x:c r="A24" s="34"/>
      <x:c r="B24" s="34"/>
      <x:c r="C24" s="34"/>
      <x:c r="D24" s="34"/>
      <x:c r="E24" s="34"/>
      <x:c r="F24" s="34"/>
      <x:c r="G24" s="34"/>
      <x:c r="H24" s="34"/>
    </x:row>
    <x:row r="25">
      <x:c r="A25" s="34"/>
      <x:c r="B25" s="34"/>
      <x:c r="C25" s="34"/>
      <x:c r="D25" s="34"/>
      <x:c r="E25" s="34"/>
      <x:c r="F25" s="34"/>
      <x:c r="G25" s="34"/>
      <x:c r="H25" s="34"/>
    </x:row>
    <x:row r="26">
      <x:c r="A26" s="34"/>
      <x:c r="B26" s="34"/>
      <x:c r="C26" s="34"/>
      <x:c r="D26" s="34"/>
      <x:c r="E26" s="34"/>
      <x:c r="F26" s="34"/>
      <x:c r="G26" s="34"/>
      <x:c r="H26" s="34"/>
    </x:row>
  </x:sheetData>
  <x:mergeCells>
    <x:mergeCell ref="A1:H1"/>
    <x:mergeCell ref="D3:H3"/>
    <x:mergeCell ref="D4:H10"/>
    <x:mergeCell ref="D12:H12"/>
    <x:mergeCell ref="D13:H19"/>
    <x:mergeCell ref="A21:H21"/>
    <x:mergeCell ref="A22:H26"/>
  </x:mergeCells>
  <x:pageMargins left="0.7" right="0.7" top="0.75" bottom="0.75" header="0.3" footer="0.3"/>
  <x:drawing xmlns:r="http://schemas.openxmlformats.org/officeDocument/2006/relationships" r:id="Reec69b68be424e8c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40" hidden="0" customWidth="1"/>
    <x:col min="4" max="4" width="32" hidden="0" customWidth="1"/>
    <x:col min="5" max="5" width="22" hidden="0" customWidth="1"/>
    <x:col min="6" max="6" width="12" hidden="0" customWidth="1"/>
    <x:col min="7" max="7" width="42" hidden="0" customWidth="1"/>
    <x:col min="8" max="8" width="30" hidden="0" customWidth="1"/>
    <x:col min="9" max="9" width="22" hidden="0" customWidth="1"/>
    <x:col min="10" max="10" width="58" hidden="0" customWidth="1"/>
  </x:cols>
  <x:sheetData>
    <x:row r="1" ht="36" customHeight="1">
      <x:c r="A1" s="6" t="str">
        <x:v>Macroárea</x:v>
      </x:c>
      <x:c r="B1" s="6" t="str">
        <x:v>Nome clínico / Sara</x:v>
      </x:c>
      <x:c r="C1" s="6" t="str">
        <x:v>Nome SEO / menu</x:v>
      </x:c>
      <x:c r="D1" s="6" t="str">
        <x:v>URL final</x:v>
      </x:c>
      <x:c r="E1" s="6" t="str">
        <x:v>Papel</x:v>
      </x:c>
      <x:c r="F1" s="6" t="str">
        <x:v>Prioridade</x:v>
      </x:c>
      <x:c r="G1" s="6" t="str">
        <x:v>Decisão V4</x:v>
      </x:c>
      <x:c r="H1" s="6" t="str">
        <x:v>Conteúdo Sara</x:v>
      </x:c>
      <x:c r="I1" s="6" t="str">
        <x:v>Publicação</x:v>
      </x:c>
      <x:c r="J1" s="6" t="str">
        <x:v>Observação</x:v>
      </x:c>
    </x:row>
    <x:row r="2">
      <x:c r="A2" s="14" t="str">
        <x:v>Estética</x:v>
      </x:c>
      <x:c r="B2" s="14" t="str">
        <x:v>Harmonização Facial</x:v>
      </x:c>
      <x:c r="C2" s="14" t="str">
        <x:v>Harmonização Facial</x:v>
      </x:c>
      <x:c r="D2" s="14" t="str">
        <x:v>/harmonizacao-facial</x:v>
      </x:c>
      <x:c r="E2" s="14" t="str">
        <x:v>Hub + serviço</x:v>
      </x:c>
      <x:c r="F2" s="14" t="str">
        <x:v>P0</x:v>
      </x:c>
      <x:c r="G2" s="14" t="str">
        <x:v>Manter; Full Face como seção</x:v>
      </x:c>
      <x:c r="H2" s="14" t="str">
        <x:v>Completo</x:v>
      </x:c>
      <x:c r="I2" s="14" t="str">
        <x:v>Launch</x:v>
      </x:c>
      <x:c r="J2" s="14" t="str">
        <x:v>Abordagem ampla que distribui para procedimentos específicos.</x:v>
      </x:c>
    </x:row>
    <x:row r="3">
      <x:c r="A3" s="14" t="str">
        <x:v>Estética</x:v>
      </x:c>
      <x:c r="B3" s="14" t="str">
        <x:v>Preenchimento Facial com Ácido Hialurônico</x:v>
      </x:c>
      <x:c r="C3" s="14" t="str">
        <x:v>Preenchimento Facial</x:v>
      </x:c>
      <x:c r="D3" s="14" t="str">
        <x:v>/preenchimento-facial</x:v>
      </x:c>
      <x:c r="E3" s="14" t="str">
        <x:v>Tratamento</x:v>
      </x:c>
      <x:c r="F3" s="14" t="str">
        <x:v>P0</x:v>
      </x:c>
      <x:c r="G3" s="14" t="str">
        <x:v>NOVO — página própria</x:v>
      </x:c>
      <x:c r="H3" s="14" t="str">
        <x:v>Completo dentro de Harmonização</x:v>
      </x:c>
      <x:c r="I3" s="14" t="str">
        <x:v>Launch</x:v>
      </x:c>
      <x:c r="J3" s="14" t="str">
        <x:v>'Contorno e Equilíbrio Facial' vira linguagem de card/copy desta área.</x:v>
      </x:c>
    </x:row>
    <x:row r="4">
      <x:c r="A4" s="14" t="str">
        <x:v>Estética</x:v>
      </x:c>
      <x:c r="B4" s="14" t="str">
        <x:v>Preenchimento Labial</x:v>
      </x:c>
      <x:c r="C4" s="14" t="str">
        <x:v>Preenchimento Labial</x:v>
      </x:c>
      <x:c r="D4" s="14" t="str">
        <x:v>/preenchimento-labial</x:v>
      </x:c>
      <x:c r="E4" s="14" t="str">
        <x:v>Tratamento</x:v>
      </x:c>
      <x:c r="F4" s="14" t="str">
        <x:v>P0</x:v>
      </x:c>
      <x:c r="G4" s="14" t="str">
        <x:v>NOVO — página própria</x:v>
      </x:c>
      <x:c r="H4" s="14" t="str">
        <x:v>Completo dentro de Harmonização</x:v>
      </x:c>
      <x:c r="I4" s="14" t="str">
        <x:v>Launch</x:v>
      </x:c>
      <x:c r="J4" s="14" t="str">
        <x:v>Busca própria e intenção distinta.</x:v>
      </x:c>
    </x:row>
    <x:row r="5">
      <x:c r="A5" s="14" t="str">
        <x:v>Estética</x:v>
      </x:c>
      <x:c r="B5" s="14" t="str">
        <x:v>Toxina Botulínica / Botox / Suavização de Linhas</x:v>
      </x:c>
      <x:c r="C5" s="14" t="str">
        <x:v>Botox / Linhas de Expressão</x:v>
      </x:c>
      <x:c r="D5" s="14" t="str">
        <x:v>/botox</x:v>
      </x:c>
      <x:c r="E5" s="14" t="str">
        <x:v>Tratamento</x:v>
      </x:c>
      <x:c r="F5" s="14" t="str">
        <x:v>P0</x:v>
      </x:c>
      <x:c r="G5" s="14" t="str">
        <x:v>Consolidar tudo em uma URL</x:v>
      </x:c>
      <x:c r="H5" s="14" t="str">
        <x:v>Completo</x:v>
      </x:c>
      <x:c r="I5" s="14" t="str">
        <x:v>Launch</x:v>
      </x:c>
      <x:c r="J5" s="14" t="str">
        <x:v>SEO orgânico sim; Google Ads destination não.</x:v>
      </x:c>
    </x:row>
    <x:row r="6">
      <x:c r="A6" s="14" t="str">
        <x:v>Estética</x:v>
      </x:c>
      <x:c r="B6" s="14" t="str">
        <x:v>Bioestimuladores de Colágeno</x:v>
      </x:c>
      <x:c r="C6" s="14" t="str">
        <x:v>Bioestimuladores de Colágeno</x:v>
      </x:c>
      <x:c r="D6" s="14" t="str">
        <x:v>/bioestimuladores-de-colageno</x:v>
      </x:c>
      <x:c r="E6" s="14" t="str">
        <x:v>Tratamento</x:v>
      </x:c>
      <x:c r="F6" s="14" t="str">
        <x:v>P0</x:v>
      </x:c>
      <x:c r="G6" s="14" t="str">
        <x:v>NOVO — página própria</x:v>
      </x:c>
      <x:c r="H6" s="14" t="str">
        <x:v>Completo dentro de Harmonização</x:v>
      </x:c>
      <x:c r="I6" s="14" t="str">
        <x:v>Launch</x:v>
      </x:c>
      <x:c r="J6" s="14" t="str">
        <x:v>Demanda relevante; conteúdo já descrito.</x:v>
      </x:c>
    </x:row>
    <x:row r="7">
      <x:c r="A7" s="14" t="str">
        <x:v>Estética</x:v>
      </x:c>
      <x:c r="B7" s="14" t="str">
        <x:v>Perfiloplastia</x:v>
      </x:c>
      <x:c r="C7" s="14" t="str">
        <x:v>Perfiloplastia</x:v>
      </x:c>
      <x:c r="D7" s="14" t="str">
        <x:v>/perfiloplastia</x:v>
      </x:c>
      <x:c r="E7" s="14" t="str">
        <x:v>Tratamento</x:v>
      </x:c>
      <x:c r="F7" s="14" t="str">
        <x:v>P1</x:v>
      </x:c>
      <x:c r="G7" s="14" t="str">
        <x:v>NOVO — página própria</x:v>
      </x:c>
      <x:c r="H7" s="14" t="str">
        <x:v>Completo dentro de Harmonização</x:v>
      </x:c>
      <x:c r="I7" s="14" t="str">
        <x:v>Após aprovação</x:v>
      </x:c>
      <x:c r="J7" s="14" t="str">
        <x:v>Menor volume, mas intenção específica.</x:v>
      </x:c>
    </x:row>
    <x:row r="8">
      <x:c r="A8" s="14" t="str">
        <x:v>Odontologia Estética</x:v>
      </x:c>
      <x:c r="B8" s="14" t="str">
        <x:v>Facetas e Lentes em Resina</x:v>
      </x:c>
      <x:c r="C8" s="14" t="str">
        <x:v>Facetas de Resina</x:v>
      </x:c>
      <x:c r="D8" s="14" t="str">
        <x:v>/facetas-de-resina</x:v>
      </x:c>
      <x:c r="E8" s="14" t="str">
        <x:v>Tratamento</x:v>
      </x:c>
      <x:c r="F8" s="14" t="str">
        <x:v>P0</x:v>
      </x:c>
      <x:c r="G8" s="14" t="str">
        <x:v>Renomear para termo de maior busca</x:v>
      </x:c>
      <x:c r="H8" s="14" t="str">
        <x:v>Completo pp.1–5</x:v>
      </x:c>
      <x:c r="I8" s="14" t="str">
        <x:v>Launch</x:v>
      </x:c>
      <x:c r="J8" s="14" t="str">
        <x:v>H1 mantém 'Lentes em Resina' como variante.</x:v>
      </x:c>
    </x:row>
    <x:row r="9">
      <x:c r="A9" s="14" t="str">
        <x:v>Odontologia Estética</x:v>
      </x:c>
      <x:c r="B9" s="14" t="str">
        <x:v>Facetas e Lentes de Porcelana</x:v>
      </x:c>
      <x:c r="C9" s="14" t="str">
        <x:v>Lentes de Contato Dental e Facetas de Porcelana</x:v>
      </x:c>
      <x:c r="D9" s="14" t="str">
        <x:v>/lentes-de-contato-dental</x:v>
      </x:c>
      <x:c r="E9" s="14" t="str">
        <x:v>Tratamento</x:v>
      </x:c>
      <x:c r="F9" s="14" t="str">
        <x:v>P0</x:v>
      </x:c>
      <x:c r="G9" s="14" t="str">
        <x:v>Consolidar lentes + porcelana</x:v>
      </x:c>
      <x:c r="H9" s="14" t="str">
        <x:v>Completo pp.5–10</x:v>
      </x:c>
      <x:c r="I9" s="14" t="str">
        <x:v>Launch</x:v>
      </x:c>
      <x:c r="J9" s="14" t="str">
        <x:v>301 da URL histórica de lentes.</x:v>
      </x:c>
    </x:row>
    <x:row r="10">
      <x:c r="A10" s="14" t="str">
        <x:v>Implantodontia</x:v>
      </x:c>
      <x:c r="B10" s="14" t="str">
        <x:v>Implantes Dentários</x:v>
      </x:c>
      <x:c r="C10" s="14" t="str">
        <x:v>Implantes Dentários</x:v>
      </x:c>
      <x:c r="D10" s="14" t="str">
        <x:v>/implantes-dentarios</x:v>
      </x:c>
      <x:c r="E10" s="14" t="str">
        <x:v>Tratamento</x:v>
      </x:c>
      <x:c r="F10" s="14" t="str">
        <x:v>P0</x:v>
      </x:c>
      <x:c r="G10" s="14" t="str">
        <x:v>Manter</x:v>
      </x:c>
      <x:c r="H10" s="14" t="str">
        <x:v>Completo pp.10–15</x:v>
      </x:c>
      <x:c r="I10" s="14" t="str">
        <x:v>Launch</x:v>
      </x:c>
      <x:c r="J10" s="14" t="str">
        <x:v>Implantes unitários/múltiplos; resumo de protocolo.</x:v>
      </x:c>
    </x:row>
    <x:row r="11">
      <x:c r="A11" s="14" t="str">
        <x:v>Implantodontia</x:v>
      </x:c>
      <x:c r="B11" s="14" t="str">
        <x:v>Prótese Protocolo</x:v>
      </x:c>
      <x:c r="C11" s="14" t="str">
        <x:v>Prótese Protocolo</x:v>
      </x:c>
      <x:c r="D11" s="14" t="str">
        <x:v>/protese-protocolo</x:v>
      </x:c>
      <x:c r="E11" s="14" t="str">
        <x:v>Tratamento</x:v>
      </x:c>
      <x:c r="F11" s="14" t="str">
        <x:v>P0</x:v>
      </x:c>
      <x:c r="G11" s="14" t="str">
        <x:v>SEPARAR — forte intenção própria</x:v>
      </x:c>
      <x:c r="H11" s="14" t="str">
        <x:v>Completo dentro de Implantes</x:v>
      </x:c>
      <x:c r="I11" s="14" t="str">
        <x:v>Launch</x:v>
      </x:c>
      <x:c r="J11" s="14" t="str">
        <x:v>Link bidirecional com implantes/reabilitação.</x:v>
      </x:c>
    </x:row>
    <x:row r="12">
      <x:c r="A12" s="14" t="str">
        <x:v>Implantodontia</x:v>
      </x:c>
      <x:c r="B12" s="14" t="str">
        <x:v>Enxerto Ósseo</x:v>
      </x:c>
      <x:c r="C12" s="14" t="str">
        <x:v>Enxerto Ósseo para Implante</x:v>
      </x:c>
      <x:c r="D12" s="14" t="str">
        <x:v>/enxerto-osseo-dentario</x:v>
      </x:c>
      <x:c r="E12" s="14" t="str">
        <x:v>Tratamento</x:v>
      </x:c>
      <x:c r="F12" s="14" t="str">
        <x:v>P1</x:v>
      </x:c>
      <x:c r="G12" s="14" t="str">
        <x:v>Manter página própria</x:v>
      </x:c>
      <x:c r="H12" s="14" t="str">
        <x:v>Conteúdo dentro de Implantes</x:v>
      </x:c>
      <x:c r="I12" s="14" t="str">
        <x:v>Launch</x:v>
      </x:c>
      <x:c r="J12" s="14" t="str">
        <x:v>Demanda própria confirma separação.</x:v>
      </x:c>
    </x:row>
    <x:row r="13">
      <x:c r="A13" s="14" t="str">
        <x:v>Periodontia</x:v>
      </x:c>
      <x:c r="B13" s="14" t="str">
        <x:v>Periodontia</x:v>
      </x:c>
      <x:c r="C13" s="14" t="str">
        <x:v>Periodontia / Tratamento de Gengiva</x:v>
      </x:c>
      <x:c r="D13" s="14" t="str">
        <x:v>/periodontia</x:v>
      </x:c>
      <x:c r="E13" s="14" t="str">
        <x:v>Tratamento</x:v>
      </x:c>
      <x:c r="F13" s="14" t="str">
        <x:v>P0</x:v>
      </x:c>
      <x:c r="G13" s="14" t="str">
        <x:v>Manter e enriquecer linguagem leiga</x:v>
      </x:c>
      <x:c r="H13" s="14" t="str">
        <x:v>Completo pp.15–20</x:v>
      </x:c>
      <x:c r="I13" s="14" t="str">
        <x:v>Launch</x:v>
      </x:c>
      <x:c r="J13" s="14" t="str">
        <x:v>Doença periodontal, manutenção e peri-implantite.</x:v>
      </x:c>
    </x:row>
    <x:row r="14">
      <x:c r="A14" s="14" t="str">
        <x:v>Periodontia</x:v>
      </x:c>
      <x:c r="B14" s="14" t="str">
        <x:v>Cirurgia Gengival</x:v>
      </x:c>
      <x:c r="C14" s="14" t="str">
        <x:v>Gengivoplastia e Cirurgia Gengival</x:v>
      </x:c>
      <x:c r="D14" s="14" t="str">
        <x:v>/cirurgia-gengival</x:v>
      </x:c>
      <x:c r="E14" s="14" t="str">
        <x:v>Tratamento</x:v>
      </x:c>
      <x:c r="F14" s="14" t="str">
        <x:v>P0</x:v>
      </x:c>
      <x:c r="G14" s="14" t="str">
        <x:v>SEPARAR — pesquisa confirma</x:v>
      </x:c>
      <x:c r="H14" s="14" t="str">
        <x:v>Completo pp.17–20</x:v>
      </x:c>
      <x:c r="I14" s="14" t="str">
        <x:v>Launch</x:v>
      </x:c>
      <x:c r="J14" s="14" t="str">
        <x:v>Engloba gengivoplastia, sorriso gengival, retração, enxerto.</x:v>
      </x:c>
    </x:row>
    <x:row r="15">
      <x:c r="A15" s="14" t="str">
        <x:v>Ortodontia</x:v>
      </x:c>
      <x:c r="B15" s="14" t="str">
        <x:v>Aparelhos Dentários e Alinhadores</x:v>
      </x:c>
      <x:c r="C15" s="14" t="str">
        <x:v>Ortodontia</x:v>
      </x:c>
      <x:c r="D15" s="14" t="str">
        <x:v>/ortodontia</x:v>
      </x:c>
      <x:c r="E15" s="14" t="str">
        <x:v>Hub + tratamento</x:v>
      </x:c>
      <x:c r="F15" s="14" t="str">
        <x:v>P0</x:v>
      </x:c>
      <x:c r="G15" s="14" t="str">
        <x:v>Manter</x:v>
      </x:c>
      <x:c r="H15" s="14" t="str">
        <x:v>Completo pp.21–25</x:v>
      </x:c>
      <x:c r="I15" s="14" t="str">
        <x:v>Launch</x:v>
      </x:c>
      <x:c r="J15" s="14" t="str">
        <x:v>Alinhadores, autoligado, convencional.</x:v>
      </x:c>
    </x:row>
    <x:row r="16">
      <x:c r="A16" s="14" t="str">
        <x:v>Ortodontia</x:v>
      </x:c>
      <x:c r="B16" s="14" t="str">
        <x:v>Invisalign</x:v>
      </x:c>
      <x:c r="C16" s="14" t="str">
        <x:v>Invisalign</x:v>
      </x:c>
      <x:c r="D16" s="14" t="str">
        <x:v>/invisalign</x:v>
      </x:c>
      <x:c r="E16" s="14" t="str">
        <x:v>Tratamento</x:v>
      </x:c>
      <x:c r="F16" s="14" t="str">
        <x:v>P0</x:v>
      </x:c>
      <x:c r="G16" s="14" t="str">
        <x:v>Manter URL histórica</x:v>
      </x:c>
      <x:c r="H16" s="14" t="str">
        <x:v>Completo dentro de Ortodontia + histórico</x:v>
      </x:c>
      <x:c r="I16" s="14" t="str">
        <x:v>Launch</x:v>
      </x:c>
      <x:c r="J16" s="14" t="str">
        <x:v>Já ranqueia localmente.</x:v>
      </x:c>
    </x:row>
    <x:row r="17">
      <x:c r="A17" s="14" t="str">
        <x:v>Cirurgia Oral</x:v>
      </x:c>
      <x:c r="B17" s="14" t="str">
        <x:v>Extração de Sisos</x:v>
      </x:c>
      <x:c r="C17" s="14" t="str">
        <x:v>Extração de Siso</x:v>
      </x:c>
      <x:c r="D17" s="14" t="str">
        <x:v>/extracao-de-siso</x:v>
      </x:c>
      <x:c r="E17" s="14" t="str">
        <x:v>Tratamento</x:v>
      </x:c>
      <x:c r="F17" s="14" t="str">
        <x:v>P1</x:v>
      </x:c>
      <x:c r="G17" s="14" t="str">
        <x:v>Manter</x:v>
      </x:c>
      <x:c r="H17" s="14" t="str">
        <x:v>Completo pp.25–27</x:v>
      </x:c>
      <x:c r="I17" s="14" t="str">
        <x:v>Launch</x:v>
      </x:c>
      <x:c r="J17" s="14" t="str">
        <x:v>Foco em indicação/diagnóstico/pós.</x:v>
      </x:c>
    </x:row>
    <x:row r="18">
      <x:c r="A18" s="14" t="str">
        <x:v>DTM / Dor</x:v>
      </x:c>
      <x:c r="B18" s="14" t="str">
        <x:v>Bruxismo / DTM / Dor Orofacial</x:v>
      </x:c>
      <x:c r="C18" s="14" t="str">
        <x:v>Bruxismo, DTM e Dor Orofacial</x:v>
      </x:c>
      <x:c r="D18" s="14" t="str">
        <x:v>/bruxismo</x:v>
      </x:c>
      <x:c r="E18" s="14" t="str">
        <x:v>Tratamento</x:v>
      </x:c>
      <x:c r="F18" s="14" t="str">
        <x:v>P0</x:v>
      </x:c>
      <x:c r="G18" s="14" t="str">
        <x:v>NOVO — página própria</x:v>
      </x:c>
      <x:c r="H18" s="14" t="str">
        <x:v>Completo pp.28–29</x:v>
      </x:c>
      <x:c r="I18" s="14" t="str">
        <x:v>Launch</x:v>
      </x:c>
      <x:c r="J18" s="14" t="str">
        <x:v>Busca ocorre muito por sintomas.</x:v>
      </x:c>
    </x:row>
    <x:row r="19">
      <x:c r="A19" s="14" t="str">
        <x:v>Endodontia</x:v>
      </x:c>
      <x:c r="B19" s="14" t="str">
        <x:v>Tratamento de Canal</x:v>
      </x:c>
      <x:c r="C19" s="14" t="str">
        <x:v>Tratamento de Canal / Endodontia</x:v>
      </x:c>
      <x:c r="D19" s="14" t="str">
        <x:v>/tratamento-de-canal</x:v>
      </x:c>
      <x:c r="E19" s="14" t="str">
        <x:v>Tratamento</x:v>
      </x:c>
      <x:c r="F19" s="14" t="str">
        <x:v>P0</x:v>
      </x:c>
      <x:c r="G19" s="14" t="str">
        <x:v>Manter; retratamento como seção</x:v>
      </x:c>
      <x:c r="H19" s="14" t="str">
        <x:v>Completo pp.29–32</x:v>
      </x:c>
      <x:c r="I19" s="14" t="str">
        <x:v>Launch</x:v>
      </x:c>
      <x:c r="J19" s="14" t="str">
        <x:v>Não criar apicectomia/retratamento como URLs agora.</x:v>
      </x:c>
    </x:row>
    <x:row r="20">
      <x:c r="A20" s="14" t="str">
        <x:v>Reabilitação</x:v>
      </x:c>
      <x:c r="B20" s="14" t="str">
        <x:v>Reabilitação Oral</x:v>
      </x:c>
      <x:c r="C20" s="14" t="str">
        <x:v>Reabilitação Oral</x:v>
      </x:c>
      <x:c r="D20" s="14" t="str">
        <x:v>/reabilitacao-oral</x:v>
      </x:c>
      <x:c r="E20" s="14" t="str">
        <x:v>Hub + tratamento</x:v>
      </x:c>
      <x:c r="F20" s="14" t="str">
        <x:v>P0</x:v>
      </x:c>
      <x:c r="G20" s="14" t="str">
        <x:v>REINSERIR — faltava na V3</x:v>
      </x:c>
      <x:c r="H20" s="14" t="str">
        <x:v>Completo pp.33–38</x:v>
      </x:c>
      <x:c r="I20" s="14" t="str">
        <x:v>Launch</x:v>
      </x:c>
      <x:c r="J20" s="14" t="str">
        <x:v>Landing de casos complexos e integração multidisciplinar.</x:v>
      </x:c>
    </x:row>
    <x:row r="21">
      <x:c r="A21" s="14" t="str">
        <x:v>Continuidade</x:v>
      </x:c>
      <x:c r="B21" s="14" t="str">
        <x:v>Todos os tipos de manutenção</x:v>
      </x:c>
      <x:c r="C21" s="14" t="str">
        <x:v>Manutenção e Acompanhamento</x:v>
      </x:c>
      <x:c r="D21" s="14" t="str">
        <x:v>/manutencao-odontologica</x:v>
      </x:c>
      <x:c r="E21" s="14" t="str">
        <x:v>Hub de continuidade</x:v>
      </x:c>
      <x:c r="F21" s="14" t="str">
        <x:v>P1</x:v>
      </x:c>
      <x:c r="G21" s="14" t="str">
        <x:v>Manter, mas não keyword-first</x:v>
      </x:c>
      <x:c r="H21" s="14" t="str">
        <x:v>Parcial em vários capítulos</x:v>
      </x:c>
      <x:c r="I21" s="14" t="str">
        <x:v>Após copy</x:v>
      </x:c>
      <x:c r="J21" s="14" t="str">
        <x:v>SEO genérico é ambíguo; valor maior em retenção/internal linking.</x:v>
      </x:c>
    </x:row>
    <x:row r="22">
      <x:c r="A22" s="14" t="str">
        <x:v>Prevenção</x:v>
      </x:c>
      <x:c r="B22" s="14" t="str">
        <x:v>Limpeza</x:v>
      </x:c>
      <x:c r="C22" s="14" t="str">
        <x:v>Limpeza Dentária / Profilaxia</x:v>
      </x:c>
      <x:c r="D22" s="14" t="str">
        <x:v>/limpeza-dental</x:v>
      </x:c>
      <x:c r="E22" s="14" t="str">
        <x:v>Tratamento</x:v>
      </x:c>
      <x:c r="F22" s="14" t="str">
        <x:v>P1</x:v>
      </x:c>
      <x:c r="G22" s="14" t="str">
        <x:v>Manter</x:v>
      </x:c>
      <x:c r="H22" s="14" t="str">
        <x:v>Pendente</x:v>
      </x:c>
      <x:c r="I22" s="14" t="str">
        <x:v>Após copy</x:v>
      </x:c>
      <x:c r="J22" s="14" t="str">
        <x:v>Keyword leiga 'limpeza dentária' deve liderar.</x:v>
      </x:c>
    </x:row>
    <x:row r="23">
      <x:c r="A23" s="14" t="str">
        <x:v>Reabilitação</x:v>
      </x:c>
      <x:c r="B23" s="14" t="str">
        <x:v>Próteses</x:v>
      </x:c>
      <x:c r="C23" s="14" t="str">
        <x:v>Próteses Dentárias</x:v>
      </x:c>
      <x:c r="D23" s="14" t="str">
        <x:v>/proteses-dentarias</x:v>
      </x:c>
      <x:c r="E23" s="14" t="str">
        <x:v>Tratamento</x:v>
      </x:c>
      <x:c r="F23" s="14" t="str">
        <x:v>P1</x:v>
      </x:c>
      <x:c r="G23" s="14" t="str">
        <x:v>Manter</x:v>
      </x:c>
      <x:c r="H23" s="14" t="str">
        <x:v>Parcial</x:v>
      </x:c>
      <x:c r="I23" s="14" t="str">
        <x:v>Após confirmar modalidades</x:v>
      </x:c>
      <x:c r="J23" s="14" t="str">
        <x:v>Separada de Prótese Protocolo.</x:v>
      </x:c>
    </x:row>
    <x:row r="24">
      <x:c r="A24" s="14" t="str">
        <x:v>Odontologia Estética</x:v>
      </x:c>
      <x:c r="B24" s="14" t="str">
        <x:v>Clareamento Dental</x:v>
      </x:c>
      <x:c r="C24" s="14" t="str">
        <x:v>Clareamento Dental</x:v>
      </x:c>
      <x:c r="D24" s="14" t="str">
        <x:v>/clareamento-dental</x:v>
      </x:c>
      <x:c r="E24" s="14" t="str">
        <x:v>Tratamento</x:v>
      </x:c>
      <x:c r="F24" s="14" t="str">
        <x:v>P1</x:v>
      </x:c>
      <x:c r="G24" s="14" t="str">
        <x:v>Manter</x:v>
      </x:c>
      <x:c r="H24" s="14" t="str">
        <x:v>Pendente</x:v>
      </x:c>
      <x:c r="I24" s="14" t="str">
        <x:v>Após copy</x:v>
      </x:c>
      <x:c r="J24" s="14" t="str">
        <x:v>Trabalhar consultório/supervisionado.</x:v>
      </x:c>
    </x:row>
    <x:row r="25">
      <x:c r="A25" s="14" t="str">
        <x:v>Restauradora</x:v>
      </x:c>
      <x:c r="B25" s="14" t="str">
        <x:v>Blocos Inlays e Onlays</x:v>
      </x:c>
      <x:c r="C25" s="14" t="str">
        <x:v>Inlays e Onlays</x:v>
      </x:c>
      <x:c r="D25" s="14" t="str">
        <x:v>/inlays-onlays</x:v>
      </x:c>
      <x:c r="E25" s="14" t="str">
        <x:v>Tratamento</x:v>
      </x:c>
      <x:c r="F25" s="14" t="str">
        <x:v>P2</x:v>
      </x:c>
      <x:c r="G25" s="14" t="str">
        <x:v>Manter</x:v>
      </x:c>
      <x:c r="H25" s="14" t="str">
        <x:v>Pendente</x:v>
      </x:c>
      <x:c r="I25" s="14" t="str">
        <x:v>Após copy</x:v>
      </x:c>
      <x:c r="J25" s="14" t="str">
        <x:v>Traduzir termo técnico em copy.</x:v>
      </x:c>
    </x:row>
    <x:row r="26">
      <x:c r="A26" s="14" t="str">
        <x:v>Odontologia Estética</x:v>
      </x:c>
      <x:c r="B26" s="14" t="str">
        <x:v>Fechamento de Diastemas</x:v>
      </x:c>
      <x:c r="C26" s="14" t="str">
        <x:v>Fechamento de Diastema</x:v>
      </x:c>
      <x:c r="D26" s="14" t="str">
        <x:v>/fechamento-de-diastemas</x:v>
      </x:c>
      <x:c r="E26" s="14" t="str">
        <x:v>Tratamento</x:v>
      </x:c>
      <x:c r="F26" s="14" t="str">
        <x:v>P2</x:v>
      </x:c>
      <x:c r="G26" s="14" t="str">
        <x:v>Manter</x:v>
      </x:c>
      <x:c r="H26" s="14" t="str">
        <x:v>Parcial via Facetas/Ortodontia</x:v>
      </x:c>
      <x:c r="I26" s="14" t="str">
        <x:v>Após copy</x:v>
      </x:c>
      <x:c r="J26" s="14" t="str">
        <x:v>Usar também 'dentes separados' em H2/FAQ.</x:v>
      </x:c>
    </x:row>
    <x:row r="27">
      <x:c r="A27" s="14" t="str">
        <x:v>Cirurgia Oral</x:v>
      </x:c>
      <x:c r="B27" s="14" t="str">
        <x:v>Bichectomia</x:v>
      </x:c>
      <x:c r="C27" s="14" t="str">
        <x:v>Bichectomia</x:v>
      </x:c>
      <x:c r="D27" s="14" t="str">
        <x:v>/bichectomia</x:v>
      </x:c>
      <x:c r="E27" s="14" t="str">
        <x:v>Tratamento</x:v>
      </x:c>
      <x:c r="F27" s="14" t="str">
        <x:v>P2</x:v>
      </x:c>
      <x:c r="G27" s="14" t="str">
        <x:v>Manter</x:v>
      </x:c>
      <x:c r="H27" s="14" t="str">
        <x:v>Pendente</x:v>
      </x:c>
      <x:c r="I27" s="14" t="str">
        <x:v>Após copy clínica</x:v>
      </x:c>
      <x:c r="J27" s="14" t="str">
        <x:v>Baixa prioridade de desenvolvimento de conteúdo.</x:v>
      </x:c>
    </x:row>
  </x:sheetData>
  <x:conditionalFormatting sqref="F2:F27">
    <x:cfRule type="expression" dxfId="5" priority="1">
      <x:formula>F2="P0"</x:formula>
    </x:cfRule>
  </x:conditionalFormatting>
  <x:conditionalFormatting sqref="I2:I27">
    <x:cfRule type="expression" dxfId="6" priority="2">
      <x:formula>OR(I2="Launch",I2="FECHADO",I2="PRONTO",I2="PRIORIDADE ADS")</x:formula>
    </x:cfRule>
    <x:cfRule type="expression" dxfId="7" priority="3">
      <x:formula>ISNUMBER(SEARCH("PEND", I2))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2b2854a5b92483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34" hidden="0" customWidth="1"/>
    <x:col min="4" max="4" width="35" hidden="0" customWidth="1"/>
    <x:col min="5" max="5" width="14" hidden="0" customWidth="1"/>
    <x:col min="6" max="6" width="58" hidden="0" customWidth="1"/>
    <x:col min="7" max="7" width="42" hidden="0" customWidth="1"/>
    <x:col min="8" max="8" width="28" hidden="0" customWidth="1"/>
    <x:col min="9" max="9" width="42" hidden="0" customWidth="1"/>
    <x:col min="10" max="10" width="34" hidden="0" customWidth="1"/>
    <x:col min="11" max="11" width="54" hidden="0" customWidth="1"/>
    <x:col min="12" max="12" width="50" hidden="0" customWidth="1"/>
    <x:col min="13" max="13" width="16" hidden="0" customWidth="1"/>
  </x:cols>
  <x:sheetData>
    <x:row r="1" ht="36" customHeight="1">
      <x:c r="A1" s="6" t="str">
        <x:v>Página</x:v>
      </x:c>
      <x:c r="B1" s="6" t="str">
        <x:v>URL</x:v>
      </x:c>
      <x:c r="C1" s="6" t="str">
        <x:v>Keyword principal</x:v>
      </x:c>
      <x:c r="D1" s="6" t="str">
        <x:v>Volume principal / evidência</x:v>
      </x:c>
      <x:c r="E1" s="6" t="str">
        <x:v>KD</x:v>
      </x:c>
      <x:c r="F1" s="6" t="str">
        <x:v>Variações semânticas prioritárias</x:v>
      </x:c>
      <x:c r="G1" s="6" t="str">
        <x:v>Volume de variações</x:v>
      </x:c>
      <x:c r="H1" s="6" t="str">
        <x:v>Intenção</x:v>
      </x:c>
      <x:c r="I1" s="6" t="str">
        <x:v>Sinal local / Florianópolis</x:v>
      </x:c>
      <x:c r="J1" s="6" t="str">
        <x:v>Geo na copy</x:v>
      </x:c>
      <x:c r="K1" s="6" t="str">
        <x:v>Uso recomendado</x:v>
      </x:c>
      <x:c r="L1" s="6" t="str">
        <x:v>Evitar</x:v>
      </x:c>
      <x:c r="M1" s="6" t="str">
        <x:v>Status</x:v>
      </x:c>
    </x:row>
    <x:row r="2">
      <x:c r="A2" s="14" t="str">
        <x:v>Home</x:v>
      </x:c>
      <x:c r="B2" s="14" t="str">
        <x:v>/</x:v>
      </x:c>
      <x:c r="C2" s="14" t="str">
        <x:v>dentista nos Ingleses</x:v>
      </x:c>
      <x:c r="D2" s="14" t="str">
        <x:v>Site atual pos.2; volume local muito baixo/sparse</x:v>
      </x:c>
      <x:c r="E2" s="14" t="str">
        <x:v>—</x:v>
      </x:c>
      <x:c r="F2" s="14" t="str">
        <x:v>dentista Ingleses; dentista Florianópolis; clínica odontológica em Florianópolis; dentista perto de mim</x:v>
      </x:c>
      <x:c r="G2" s="14" t="str">
        <x:v>dentista Florianópolis 120; clínica odontológica Florianópolis 260; dentistas Florianópolis 240</x:v>
      </x:c>
      <x:c r="H2" s="14" t="str">
        <x:v>Local + Comercial</x:v>
      </x:c>
      <x:c r="I2" s="14" t="str">
        <x:v>Local Pack + related search 'Dentista Ingleses'</x:v>
      </x:c>
      <x:c r="J2" s="14" t="str">
        <x:v>Ingleses forte; Norte da Ilha contextual; Florianópolis title/schema</x:v>
      </x:c>
      <x:c r="K2" s="14" t="str">
        <x:v>Title, H1, hero, NAP, schema, links internos</x:v>
      </x:c>
      <x:c r="L2" s="14" t="str">
        <x:v>Páginas por bairro / stuffing</x:v>
      </x:c>
      <x:c r="M2" s="14" t="str">
        <x:v>FECHADO</x:v>
      </x:c>
    </x:row>
    <x:row r="3">
      <x:c r="A3" s="14" t="str">
        <x:v>Facetas de Resina</x:v>
      </x:c>
      <x:c r="B3" s="14" t="str">
        <x:v>/facetas-de-resina</x:v>
      </x:c>
      <x:c r="C3" s="14" t="str">
        <x:v>faceta de resina</x:v>
      </x:c>
      <x:c r="D3" s="14" t="str">
        <x:v>47.500</x:v>
      </x:c>
      <x:c r="E3" s="14" t="str">
        <x:v>59</x:v>
      </x:c>
      <x:c r="F3" s="14" t="str">
        <x:v>facetas de resina; lente de resina; lentes de resina; facetas em resina; desgaste; preço; duração</x:v>
      </x:c>
      <x:c r="G3" s="14" t="str">
        <x:v>27.100; 12.100; 8.100; 4.400; long tails 590+</x:v>
      </x:c>
      <x:c r="H3" s="14" t="str">
        <x:v>Informacional + Comercial</x:v>
      </x:c>
      <x:c r="I3" s="14" t="str">
        <x:v>'lentes em resina' tem Local Pack/L+C</x:v>
      </x:c>
      <x:c r="J3" s="14" t="str">
        <x:v>Florianópolis no title e bloco local</x:v>
      </x:c>
      <x:c r="K3" s="14" t="str">
        <x:v>H1 'Facetas de Resina e Lentes em Resina'; FAQ baseado em desgaste/manchas/duração</x:v>
      </x:c>
      <x:c r="L3" s="14" t="str">
        <x:v>Forçar 'faceta em resina' como única forma</x:v>
      </x:c>
      <x:c r="M3" s="14" t="str">
        <x:v>FECHADO</x:v>
      </x:c>
    </x:row>
    <x:row r="4">
      <x:c r="A4" s="14" t="str">
        <x:v>Lentes/Porcelana</x:v>
      </x:c>
      <x:c r="B4" s="14" t="str">
        <x:v>/lentes-de-contato-dental</x:v>
      </x:c>
      <x:c r="C4" s="14" t="str">
        <x:v>lentes de contato dental</x:v>
      </x:c>
      <x:c r="D4" s="14" t="str">
        <x:v>9.900</x:v>
      </x:c>
      <x:c r="E4" s="14" t="str">
        <x:v>45</x:v>
      </x:c>
      <x:c r="F4" s="14" t="str">
        <x:v>faceta de porcelana; facetas de porcelana; lente de porcelana; lentes de porcelana; lente nos dentes</x:v>
      </x:c>
      <x:c r="G4" s="14" t="str">
        <x:v>6.600; 5.400; 2.900; 1.900; 18.100</x:v>
      </x:c>
      <x:c r="H4" s="14" t="str">
        <x:v>Local + Comercial + Informacional</x:v>
      </x:c>
      <x:c r="I4" s="14" t="str">
        <x:v>lente de contato dental Florianópolis 30, KD4, Local Pack</x:v>
      </x:c>
      <x:c r="J4" s="14" t="str">
        <x:v>Florianópolis title; Ingleses local block</x:v>
      </x:c>
      <x:c r="K4" s="14" t="str">
        <x:v>Consolidar uma página que cobre lentes + facetas porcelana</x:v>
      </x:c>
      <x:c r="L4" s="14" t="str">
        <x:v>Duas páginas quase idênticas concorrendo</x:v>
      </x:c>
      <x:c r="M4" s="14" t="str">
        <x:v>FECHADO</x:v>
      </x:c>
    </x:row>
    <x:row r="5">
      <x:c r="A5" s="14" t="str">
        <x:v>Implantes</x:v>
      </x:c>
      <x:c r="B5" s="14" t="str">
        <x:v>/implantes-dentarios</x:v>
      </x:c>
      <x:c r="C5" s="14" t="str">
        <x:v>implantes dentários Florianópolis</x:v>
      </x:c>
      <x:c r="D5" s="14" t="str">
        <x:v>50 local</x:v>
      </x:c>
      <x:c r="E5" s="14" t="str">
        <x:v>5</x:v>
      </x:c>
      <x:c r="F5" s="14" t="str">
        <x:v>implantodontia; implante de dente; implante dental; carga imediata</x:v>
      </x:c>
      <x:c r="G5" s="14" t="str">
        <x:v>5.400; 4.400; 1.900; long tails</x:v>
      </x:c>
      <x:c r="H5" s="14" t="str">
        <x:v>Local + Comercial</x:v>
      </x:c>
      <x:c r="I5" s="14" t="str">
        <x:v>Consulta local explícita; alta proximidade</x:v>
      </x:c>
      <x:c r="J5" s="14" t="str">
        <x:v>Florianópolis + clínica nos Ingleses</x:v>
      </x:c>
      <x:c r="K5" s="14" t="str">
        <x:v>Title local; H2 linguagem de paciente; Ads direto</x:v>
      </x:c>
      <x:c r="L5" s="14" t="str">
        <x:v>Duplicar 'implante dentário' e 'implantes'</x:v>
      </x:c>
      <x:c r="M5" s="14" t="str">
        <x:v>FECHADO</x:v>
      </x:c>
    </x:row>
    <x:row r="6">
      <x:c r="A6" s="14" t="str">
        <x:v>Prótese Protocolo</x:v>
      </x:c>
      <x:c r="B6" s="14" t="str">
        <x:v>/protese-protocolo</x:v>
      </x:c>
      <x:c r="C6" s="14" t="str">
        <x:v>prótese protocolo</x:v>
      </x:c>
      <x:c r="D6" s="14" t="str">
        <x:v>14.800</x:v>
      </x:c>
      <x:c r="E6" s="14" t="str">
        <x:v>41</x:v>
      </x:c>
      <x:c r="F6" s="14" t="str">
        <x:v>implante protocolo; prótese sobre implantes; protocolo superior/inferior</x:v>
      </x:c>
      <x:c r="G6" s="14" t="str">
        <x:v>990; 480+; 3.600/1.300</x:v>
      </x:c>
      <x:c r="H6" s="14" t="str">
        <x:v>Comercial + Informacional</x:v>
      </x:c>
      <x:c r="I6" s="14" t="str">
        <x:v>Forte intenção de solução específica</x:v>
      </x:c>
      <x:c r="J6" s="14" t="str">
        <x:v>Florianópolis title; Ingleses bloco local</x:v>
      </x:c>
      <x:c r="K6" s="14" t="str">
        <x:v>Página própria + link para Implantes/Reabilitação</x:v>
      </x:c>
      <x:c r="L6" s="14" t="str">
        <x:v>Esconder apenas como H2 de Implantes</x:v>
      </x:c>
      <x:c r="M6" s="14" t="str">
        <x:v>FECHADO</x:v>
      </x:c>
    </x:row>
    <x:row r="7">
      <x:c r="A7" s="14" t="str">
        <x:v>Enxerto Ósseo</x:v>
      </x:c>
      <x:c r="B7" s="14" t="str">
        <x:v>/enxerto-osseo-dentario</x:v>
      </x:c>
      <x:c r="C7" s="14" t="str">
        <x:v>enxerto ósseo para implante</x:v>
      </x:c>
      <x:c r="D7" s="14" t="str">
        <x:v>590/480</x:v>
      </x:c>
      <x:c r="E7" s="14" t="str">
        <x:v>4–6</x:v>
      </x:c>
      <x:c r="F7" s="14" t="str">
        <x:v>enxerto ósseo dentário dói; como é feito; levantamento de seio maxilar</x:v>
      </x:c>
      <x:c r="G7" s="14" t="str">
        <x:v>590; 390; conteúdo de cluster</x:v>
      </x:c>
      <x:c r="H7" s="14" t="str">
        <x:v>Informacional + Comercial</x:v>
      </x:c>
      <x:c r="I7" s="14" t="str">
        <x:v>Ligado a intenção de implante</x:v>
      </x:c>
      <x:c r="J7" s="14" t="str">
        <x:v>Florianópolis title</x:v>
      </x:c>
      <x:c r="K7" s="14" t="str">
        <x:v>Página própria, FAQ e link forte para Implantes</x:v>
      </x:c>
      <x:c r="L7" s="14" t="str">
        <x:v>Conteúdo cirúrgico excessivamente gráfico</x:v>
      </x:c>
      <x:c r="M7" s="14" t="str">
        <x:v>FECHADO</x:v>
      </x:c>
    </x:row>
    <x:row r="8">
      <x:c r="A8" s="14" t="str">
        <x:v>Periodontia</x:v>
      </x:c>
      <x:c r="B8" s="14" t="str">
        <x:v>/periodontia</x:v>
      </x:c>
      <x:c r="C8" s="14" t="str">
        <x:v>periodontia</x:v>
      </x:c>
      <x:c r="D8" s="14" t="str">
        <x:v>27.100</x:v>
      </x:c>
      <x:c r="E8" s="14" t="str">
        <x:v>82</x:v>
      </x:c>
      <x:c r="F8" s="14" t="str">
        <x:v>especialista em gengiva; dentista periodontista; tratamento de gengiva; gengiva sangrando; periodontite</x:v>
      </x:c>
      <x:c r="G8" s="14" t="str">
        <x:v>390; 590; 260+; sintomáticas altas</x:v>
      </x:c>
      <x:c r="H8" s="14" t="str">
        <x:v>Local + Comercial + Informacional</x:v>
      </x:c>
      <x:c r="I8" s="14" t="str">
        <x:v>Variantes profissionais têm Local Pack</x:v>
      </x:c>
      <x:c r="J8" s="14" t="str">
        <x:v>Florianópolis title + Ingleses block</x:v>
      </x:c>
      <x:c r="K8" s="14" t="str">
        <x:v>Misturar termo técnico e linguagem de paciente</x:v>
      </x:c>
      <x:c r="L8" s="14" t="str">
        <x:v>Só falar 'periodontia' sem explicar gengiva</x:v>
      </x:c>
      <x:c r="M8" s="14" t="str">
        <x:v>FECHADO</x:v>
      </x:c>
    </x:row>
    <x:row r="9">
      <x:c r="A9" s="14" t="str">
        <x:v>Cirurgia Gengival</x:v>
      </x:c>
      <x:c r="B9" s="14" t="str">
        <x:v>/cirurgia-gengival</x:v>
      </x:c>
      <x:c r="C9" s="14" t="str">
        <x:v>gengivoplastia</x:v>
      </x:c>
      <x:c r="D9" s="14" t="str">
        <x:v>27.100</x:v>
      </x:c>
      <x:c r="E9" s="14" t="str">
        <x:v>58</x:v>
      </x:c>
      <x:c r="F9" s="14" t="str">
        <x:v>cirurgia gengiva; sorriso gengival; retração gengival; enxerto gengival; aumento de coroa</x:v>
      </x:c>
      <x:c r="G9" s="14" t="str">
        <x:v>1.900; 390+; 320+</x:v>
      </x:c>
      <x:c r="H9" s="14" t="str">
        <x:v>Informacional + Comercial</x:v>
      </x:c>
      <x:c r="I9" s="14" t="str">
        <x:v>Cluster distinto de Periodontia clínica</x:v>
      </x:c>
      <x:c r="J9" s="14" t="str">
        <x:v>Florianópolis title</x:v>
      </x:c>
      <x:c r="K9" s="14" t="str">
        <x:v>H1 'Gengivoplastia e Cirurgia Gengival'</x:v>
      </x:c>
      <x:c r="L9" s="14" t="str">
        <x:v>Criar uma URL para cada microprocedimento agora</x:v>
      </x:c>
      <x:c r="M9" s="14" t="str">
        <x:v>FECHADO</x:v>
      </x:c>
    </x:row>
    <x:row r="10">
      <x:c r="A10" s="14" t="str">
        <x:v>Ortodontia</x:v>
      </x:c>
      <x:c r="B10" s="14" t="str">
        <x:v>/ortodontia</x:v>
      </x:c>
      <x:c r="C10" s="14" t="str">
        <x:v>ortodontista Florianópolis</x:v>
      </x:c>
      <x:c r="D10" s="14" t="str">
        <x:v>140 local</x:v>
      </x:c>
      <x:c r="E10" s="14" t="str">
        <x:v>7</x:v>
      </x:c>
      <x:c r="F10" s="14" t="str">
        <x:v>ortodontia Florianópolis; aparelho dentário; aparelho autoligado; alinhadores transparentes</x:v>
      </x:c>
      <x:c r="G10" s="14" t="str">
        <x:v>140 local + clusters nacionais</x:v>
      </x:c>
      <x:c r="H10" s="14" t="str">
        <x:v>Local + Comercial</x:v>
      </x:c>
      <x:c r="I10" s="14" t="str">
        <x:v>Local Pack</x:v>
      </x:c>
      <x:c r="J10" s="14" t="str">
        <x:v>Florianópolis title; Ingleses block</x:v>
      </x:c>
      <x:c r="K10" s="14" t="str">
        <x:v>Hub geral que distribui para Invisalign</x:v>
      </x:c>
      <x:c r="L10" s="14" t="str">
        <x:v>Canibalizar Invisalign</x:v>
      </x:c>
      <x:c r="M10" s="14" t="str">
        <x:v>FECHADO</x:v>
      </x:c>
    </x:row>
    <x:row r="11">
      <x:c r="A11" s="14" t="str">
        <x:v>Invisalign</x:v>
      </x:c>
      <x:c r="B11" s="14" t="str">
        <x:v>/invisalign</x:v>
      </x:c>
      <x:c r="C11" s="14" t="str">
        <x:v>Invisalign Florianópolis</x:v>
      </x:c>
      <x:c r="D11" s="14" t="str">
        <x:v>40 local</x:v>
      </x:c>
      <x:c r="E11" s="14" t="str">
        <x:v>22</x:v>
      </x:c>
      <x:c r="F11" s="14" t="str">
        <x:v>aparelho Invisalign; aparelho invisível; alinhador invisível; alinhadores transparentes; preço</x:v>
      </x:c>
      <x:c r="G11" s="14" t="str">
        <x:v>14.800; 10.800; 3.100; 1.900; 10.800</x:v>
      </x:c>
      <x:c r="H11" s="14" t="str">
        <x:v>Local + Comercial</x:v>
      </x:c>
      <x:c r="I11" s="14" t="str">
        <x:v>URL atual já ranqueia</x:v>
      </x:c>
      <x:c r="J11" s="14" t="str">
        <x:v>Florianópolis title; Norte da Ilha contextual</x:v>
      </x:c>
      <x:c r="K11" s="14" t="str">
        <x:v>Preservar URL e ampliar semântica</x:v>
      </x:c>
      <x:c r="L11" s="14" t="str">
        <x:v>Trocar slug histórico</x:v>
      </x:c>
      <x:c r="M11" s="14" t="str">
        <x:v>FECHADO</x:v>
      </x:c>
    </x:row>
    <x:row r="12">
      <x:c r="A12" s="14" t="str">
        <x:v>Extração de Siso</x:v>
      </x:c>
      <x:c r="B12" s="14" t="str">
        <x:v>/extracao-de-siso</x:v>
      </x:c>
      <x:c r="C12" s="14" t="str">
        <x:v>extração de siso</x:v>
      </x:c>
      <x:c r="D12" s="14" t="str">
        <x:v>9.900</x:v>
      </x:c>
      <x:c r="E12" s="14" t="str">
        <x:v>60</x:v>
      </x:c>
      <x:c r="F12" s="14" t="str">
        <x:v>extração do siso; cirurgia do siso; siso incluso; dor no siso; quatro sisos</x:v>
      </x:c>
      <x:c r="G12" s="14" t="str">
        <x:v>8.100; 2.900; 4.400; 5.400</x:v>
      </x:c>
      <x:c r="H12" s="14" t="str">
        <x:v>Informacional + Comercial</x:v>
      </x:c>
      <x:c r="I12" s="14" t="str">
        <x:v>Procedimento naturalmente local</x:v>
      </x:c>
      <x:c r="J12" s="14" t="str">
        <x:v>Florianópolis title</x:v>
      </x:c>
      <x:c r="K12" s="14" t="str">
        <x:v>FAQ cobre avaliação, tomo, recuperação</x:v>
      </x:c>
      <x:c r="L12" s="14" t="str">
        <x:v>Prometer que todo siso deve sair</x:v>
      </x:c>
      <x:c r="M12" s="14" t="str">
        <x:v>FECHADO</x:v>
      </x:c>
    </x:row>
    <x:row r="13">
      <x:c r="A13" s="14" t="str">
        <x:v>Bruxismo</x:v>
      </x:c>
      <x:c r="B13" s="14" t="str">
        <x:v>/bruxismo</x:v>
      </x:c>
      <x:c r="C13" s="14" t="str">
        <x:v>bruxismo</x:v>
      </x:c>
      <x:c r="D13" s="14" t="str">
        <x:v>Sintomas: 2.400–3.600</x:v>
      </x:c>
      <x:c r="E13" s="14" t="str">
        <x:v>—</x:v>
      </x:c>
      <x:c r="F13" s="14" t="str">
        <x:v>rangendo os dentes; ranger os dentes; bruxismo sintomas; placa para bruxismo; DTM; dor orofacial</x:v>
      </x:c>
      <x:c r="G13" s="14" t="str">
        <x:v>3.600; 3.200; 2.400; cluster relacionado</x:v>
      </x:c>
      <x:c r="H13" s="14" t="str">
        <x:v>Informacional + Comercial</x:v>
      </x:c>
      <x:c r="I13" s="14" t="str">
        <x:v>Local exato sparse, mas serviço é presencial</x:v>
      </x:c>
      <x:c r="J13" s="14" t="str">
        <x:v>Florianópolis title</x:v>
      </x:c>
      <x:c r="K13" s="14" t="str">
        <x:v>H2s por sintomas + diagnóstico + placa</x:v>
      </x:c>
      <x:c r="L13" s="14" t="str">
        <x:v>Tratar placa como solução universal</x:v>
      </x:c>
      <x:c r="M13" s="14" t="str">
        <x:v>FECHADO</x:v>
      </x:c>
    </x:row>
    <x:row r="14">
      <x:c r="A14" s="14" t="str">
        <x:v>Canal</x:v>
      </x:c>
      <x:c r="B14" s="14" t="str">
        <x:v>/tratamento-de-canal</x:v>
      </x:c>
      <x:c r="C14" s="14" t="str">
        <x:v>tratamento de canal</x:v>
      </x:c>
      <x:c r="D14" s="14" t="str">
        <x:v>canal no dente 33.100</x:v>
      </x:c>
      <x:c r="E14" s="14" t="str">
        <x:v>49</x:v>
      </x:c>
      <x:c r="F14" s="14" t="str">
        <x:v>tratamento endodôntico; retratamento de canal; quando fazer canal; canal dói</x:v>
      </x:c>
      <x:c r="G14" s="14" t="str">
        <x:v>3.100; 1.600; 590+</x:v>
      </x:c>
      <x:c r="H14" s="14" t="str">
        <x:v>Informacional + Comercial</x:v>
      </x:c>
      <x:c r="I14" s="14" t="str">
        <x:v>'endodontia canal' tem Local Pack</x:v>
      </x:c>
      <x:c r="J14" s="14" t="str">
        <x:v>Florianópolis title</x:v>
      </x:c>
      <x:c r="K14" s="14" t="str">
        <x:v>Linguagem comum no H1; Endodontia no title/body</x:v>
      </x:c>
      <x:c r="L14" s="14" t="str">
        <x:v>Separar retratamento sem necessidade</x:v>
      </x:c>
      <x:c r="M14" s="14" t="str">
        <x:v>FECHADO</x:v>
      </x:c>
    </x:row>
    <x:row r="15">
      <x:c r="A15" s="14" t="str">
        <x:v>Reabilitação Oral</x:v>
      </x:c>
      <x:c r="B15" s="14" t="str">
        <x:v>/reabilitacao-oral</x:v>
      </x:c>
      <x:c r="C15" s="14" t="str">
        <x:v>reabilitação oral</x:v>
      </x:c>
      <x:c r="D15" s="14" t="str">
        <x:v>centro 210; clínica 70</x:v>
      </x:c>
      <x:c r="E15" s="14" t="str">
        <x:v>4</x:v>
      </x:c>
      <x:c r="F15" s="14" t="str">
        <x:v>o que é reabilitação oral; vários dentes quebrados; dentes desgastados; planejamento integrado</x:v>
      </x:c>
      <x:c r="G15" s="14" t="str">
        <x:v>170 + intenção clínica de alto valor</x:v>
      </x:c>
      <x:c r="H15" s="14" t="str">
        <x:v>Local + Comercial + Informacional</x:v>
      </x:c>
      <x:c r="I15" s="14" t="str">
        <x:v>Consultas 'centro/clínica' têm Local Pack</x:v>
      </x:c>
      <x:c r="J15" s="14" t="str">
        <x:v>Florianópolis title; Ingleses block</x:v>
      </x:c>
      <x:c r="K15" s="14" t="str">
        <x:v>Página de entrada para casos complexos, não apenas keyword volume</x:v>
      </x:c>
      <x:c r="L15" s="14" t="str">
        <x:v>Descartar por volume menor</x:v>
      </x:c>
      <x:c r="M15" s="14" t="str">
        <x:v>FECHADO</x:v>
      </x:c>
    </x:row>
    <x:row r="16">
      <x:c r="A16" s="14" t="str">
        <x:v>Manutenção</x:v>
      </x:c>
      <x:c r="B16" s="14" t="str">
        <x:v>/manutencao-odontologica</x:v>
      </x:c>
      <x:c r="C16" s="14" t="str">
        <x:v>acompanhamento odontológico</x:v>
      </x:c>
      <x:c r="D16" s="14" t="str">
        <x:v>Sem cluster genérico confiável</x:v>
      </x:c>
      <x:c r="E16" s="14" t="str">
        <x:v>—</x:v>
      </x:c>
      <x:c r="F16" s="14" t="str">
        <x:v>manutenção periodontal; manutenção de implantes; contenção; polimento de facetas; retornos</x:v>
      </x:c>
      <x:c r="G16" s="14" t="str">
        <x:v>Termos distribuídos por tratamento</x:v>
      </x:c>
      <x:c r="H16" s="14" t="str">
        <x:v>Retenção + Navegacional</x:v>
      </x:c>
      <x:c r="I16" s="14" t="str">
        <x:v>Não é página de aquisição prioritária</x:v>
      </x:c>
      <x:c r="J16" s="14" t="str">
        <x:v>Localidade discreta</x:v>
      </x:c>
      <x:c r="K16" s="14" t="str">
        <x:v>Internal linking/aftercare de todos os treatments</x:v>
      </x:c>
      <x:c r="L16" s="14" t="str">
        <x:v>Forçar termo 'manutenção odontológica' — SERP é ambígua com equipamentos</x:v>
      </x:c>
      <x:c r="M16" s="14" t="str">
        <x:v>FECHADO</x:v>
      </x:c>
    </x:row>
    <x:row r="17">
      <x:c r="A17" s="14" t="str">
        <x:v>Limpeza</x:v>
      </x:c>
      <x:c r="B17" s="14" t="str">
        <x:v>/limpeza-dental</x:v>
      </x:c>
      <x:c r="C17" s="14" t="str">
        <x:v>limpeza dentária</x:v>
      </x:c>
      <x:c r="D17" s="14" t="str">
        <x:v>9.900</x:v>
      </x:c>
      <x:c r="E17" s="14" t="str">
        <x:v>57</x:v>
      </x:c>
      <x:c r="F17" s="14" t="str">
        <x:v>profilaxia dental; limpeza dos dentes; tártaro; manutenção preventiva</x:v>
      </x:c>
      <x:c r="G17" s="14" t="str">
        <x:v>8.100; 8.000</x:v>
      </x:c>
      <x:c r="H17" s="14" t="str">
        <x:v>Local + Comercial</x:v>
      </x:c>
      <x:c r="I17" s="14" t="str">
        <x:v>Local Pack</x:v>
      </x:c>
      <x:c r="J17" s="14" t="str">
        <x:v>Florianópolis title</x:v>
      </x:c>
      <x:c r="K17" s="14" t="str">
        <x:v>Usar linguagem popular + explicar profilaxia</x:v>
      </x:c>
      <x:c r="L17" s="14" t="str">
        <x:v>Só usar termo técnico</x:v>
      </x:c>
      <x:c r="M17" s="14" t="str">
        <x:v>FECHADO</x:v>
      </x:c>
    </x:row>
    <x:row r="18">
      <x:c r="A18" s="14" t="str">
        <x:v>Próteses</x:v>
      </x:c>
      <x:c r="B18" s="14" t="str">
        <x:v>/proteses-dentarias</x:v>
      </x:c>
      <x:c r="C18" s="14" t="str">
        <x:v>próteses dentárias</x:v>
      </x:c>
      <x:c r="D18" s="14" t="str">
        <x:v>1.300 L/C</x:v>
      </x:c>
      <x:c r="E18" s="14" t="str">
        <x:v>59</x:v>
      </x:c>
      <x:c r="F18" s="14" t="str">
        <x:v>prótese; prótese fixa; tipos de próteses; dentadura conforme modalidade real</x:v>
      </x:c>
      <x:c r="G18" s="14" t="str">
        <x:v>27.100; 12.100; 480</x:v>
      </x:c>
      <x:c r="H18" s="14" t="str">
        <x:v>Local + Comercial</x:v>
      </x:c>
      <x:c r="I18" s="14" t="str">
        <x:v>Genéricas exibem Local Pack</x:v>
      </x:c>
      <x:c r="J18" s="14" t="str">
        <x:v>Florianópolis title</x:v>
      </x:c>
      <x:c r="K18" s="14" t="str">
        <x:v>Página geral; Protocolo separado</x:v>
      </x:c>
      <x:c r="L18" s="14" t="str">
        <x:v>Misturar modalidades não oferecidas</x:v>
      </x:c>
      <x:c r="M18" s="14" t="str">
        <x:v>FECHADO</x:v>
      </x:c>
    </x:row>
    <x:row r="19">
      <x:c r="A19" s="14" t="str">
        <x:v>Clareamento</x:v>
      </x:c>
      <x:c r="B19" s="14" t="str">
        <x:v>/clareamento-dental</x:v>
      </x:c>
      <x:c r="C19" s="14" t="str">
        <x:v>clareamento dental</x:v>
      </x:c>
      <x:c r="D19" s="14" t="str">
        <x:v>clareamento 14.800</x:v>
      </x:c>
      <x:c r="E19" s="14" t="str">
        <x:v>68</x:v>
      </x:c>
      <x:c r="F19" s="14" t="str">
        <x:v>clareamento dental valor; clareamento de consultório; sensibilidade; duração</x:v>
      </x:c>
      <x:c r="G19" s="14" t="str">
        <x:v>4.400; 1.100</x:v>
      </x:c>
      <x:c r="H19" s="14" t="str">
        <x:v>Local + Comercial + Informacional</x:v>
      </x:c>
      <x:c r="I19" s="14" t="str">
        <x:v>'clareamento' tem Local Pack</x:v>
      </x:c>
      <x:c r="J19" s="14" t="str">
        <x:v>Florianópolis title</x:v>
      </x:c>
      <x:c r="K19" s="14" t="str">
        <x:v>Foco profissional/supervisionado</x:v>
      </x:c>
      <x:c r="L19" s="14" t="str">
        <x:v>Competir com busca de produto/DIY como objetivo principal</x:v>
      </x:c>
      <x:c r="M19" s="14" t="str">
        <x:v>FECHADO</x:v>
      </x:c>
    </x:row>
    <x:row r="20">
      <x:c r="A20" s="14" t="str">
        <x:v>Inlays/Onlays</x:v>
      </x:c>
      <x:c r="B20" s="14" t="str">
        <x:v>/inlays-onlays</x:v>
      </x:c>
      <x:c r="C20" s="14" t="str">
        <x:v>onlay dental</x:v>
      </x:c>
      <x:c r="D20" s="14" t="str">
        <x:v>onlay 6.600</x:v>
      </x:c>
      <x:c r="E20" s="14" t="str">
        <x:v>49</x:v>
      </x:c>
      <x:c r="F20" s="14" t="str">
        <x:v>inlay dental; onlay de porcelana; restauração indireta; bloco dental</x:v>
      </x:c>
      <x:c r="G20" s="14" t="str">
        <x:v>480; 390; 210+</x:v>
      </x:c>
      <x:c r="H20" s="14" t="str">
        <x:v>Informacional + Comercial</x:v>
      </x:c>
      <x:c r="I20" s="14" t="str">
        <x:v>Baixo sinal local explícito</x:v>
      </x:c>
      <x:c r="J20" s="14" t="str">
        <x:v>Geo apenas title/local block</x:v>
      </x:c>
      <x:c r="K20" s="14" t="str">
        <x:v>Traduzir termo técnico para paciente</x:v>
      </x:c>
      <x:c r="L20" s="14" t="str">
        <x:v>Copy excessivamente acadêmica</x:v>
      </x:c>
      <x:c r="M20" s="14" t="str">
        <x:v>FECHADO</x:v>
      </x:c>
    </x:row>
    <x:row r="21">
      <x:c r="A21" s="14" t="str">
        <x:v>Diastema</x:v>
      </x:c>
      <x:c r="B21" s="14" t="str">
        <x:v>/fechamento-de-diastemas</x:v>
      </x:c>
      <x:c r="C21" s="14" t="str">
        <x:v>fechamento de diastema</x:v>
      </x:c>
      <x:c r="D21" s="14" t="str">
        <x:v>dentes separados 1.600</x:v>
      </x:c>
      <x:c r="E21" s="14" t="str">
        <x:v>54</x:v>
      </x:c>
      <x:c r="F21" s="14" t="str">
        <x:v>dente separado; fechar diastema com resina; aparelho para dentes separados</x:v>
      </x:c>
      <x:c r="G21" s="14" t="str">
        <x:v>1.500; 480; 260</x:v>
      </x:c>
      <x:c r="H21" s="14" t="str">
        <x:v>Informacional + Comercial</x:v>
      </x:c>
      <x:c r="I21" s="14" t="str">
        <x:v>Baixo local explícito</x:v>
      </x:c>
      <x:c r="J21" s="14" t="str">
        <x:v>Florianópolis title</x:v>
      </x:c>
      <x:c r="K21" s="14" t="str">
        <x:v>Trabalhar 'dentes separados' em H2/FAQ</x:v>
      </x:c>
      <x:c r="L21" s="14" t="str">
        <x:v>Assumir que resina é sempre a solução</x:v>
      </x:c>
      <x:c r="M21" s="14" t="str">
        <x:v>FECHADO</x:v>
      </x:c>
    </x:row>
    <x:row r="22">
      <x:c r="A22" s="14" t="str">
        <x:v>Bichectomia</x:v>
      </x:c>
      <x:c r="B22" s="14" t="str">
        <x:v>/bichectomia</x:v>
      </x:c>
      <x:c r="C22" s="14" t="str">
        <x:v>bichectomia</x:v>
      </x:c>
      <x:c r="D22" s="14" t="str">
        <x:v>long tails 390–590</x:v>
      </x:c>
      <x:c r="E22" s="14" t="str">
        <x:v>4–10</x:v>
      </x:c>
      <x:c r="F22" s="14" t="str">
        <x:v>bichectomia envelhece; preço; recuperação; cirurgia da bochecha</x:v>
      </x:c>
      <x:c r="G22" s="14" t="str">
        <x:v>590; 480; 480; 390+</x:v>
      </x:c>
      <x:c r="H22" s="14" t="str">
        <x:v>Informacional + Comercial</x:v>
      </x:c>
      <x:c r="I22" s="14" t="str">
        <x:v>Serviço presencial; local exact sparse</x:v>
      </x:c>
      <x:c r="J22" s="14" t="str">
        <x:v>Florianópolis title</x:v>
      </x:c>
      <x:c r="K22" s="14" t="str">
        <x:v>Página YMYL com limites e indicação</x:v>
      </x:c>
      <x:c r="L22" s="14" t="str">
        <x:v>Copy estética agressiva / promessas</x:v>
      </x:c>
      <x:c r="M22" s="14" t="str">
        <x:v>FECHADO</x:v>
      </x:c>
    </x:row>
    <x:row r="23">
      <x:c r="A23" s="14" t="str">
        <x:v>Harmonização</x:v>
      </x:c>
      <x:c r="B23" s="14" t="str">
        <x:v>/harmonizacao-facial</x:v>
      </x:c>
      <x:c r="C23" s="14" t="str">
        <x:v>harmonização facial</x:v>
      </x:c>
      <x:c r="D23" s="14" t="str">
        <x:v>~12.100</x:v>
      </x:c>
      <x:c r="E23" s="14" t="str">
        <x:v>—</x:v>
      </x:c>
      <x:c r="F23" s="14" t="str">
        <x:v>harmonização facial natural; Full Face; planejamento facial; harmonia facial</x:v>
      </x:c>
      <x:c r="G23" s="14" t="str">
        <x:v>390; 260+</x:v>
      </x:c>
      <x:c r="H23" s="14" t="str">
        <x:v>Local + Comercial + Informacional</x:v>
      </x:c>
      <x:c r="I23" s="14" t="str">
        <x:v>'harmonização facial natural' tem Local Pack</x:v>
      </x:c>
      <x:c r="J23" s="14" t="str">
        <x:v>Florianópolis title</x:v>
      </x:c>
      <x:c r="K23" s="14" t="str">
        <x:v>Hub e abordagem; distribuir para procedimentos</x:v>
      </x:c>
      <x:c r="L23" s="14" t="str">
        <x:v>Transformar Full Face em pacote</x:v>
      </x:c>
      <x:c r="M23" s="14" t="str">
        <x:v>FECHADO</x:v>
      </x:c>
    </x:row>
    <x:row r="24">
      <x:c r="A24" s="14" t="str">
        <x:v>Preenchimento Facial</x:v>
      </x:c>
      <x:c r="B24" s="14" t="str">
        <x:v>/preenchimento-facial</x:v>
      </x:c>
      <x:c r="C24" s="14" t="str">
        <x:v>preenchimento facial</x:v>
      </x:c>
      <x:c r="D24" s="14" t="str">
        <x:v>320 para 'com ácido hialurônico'</x:v>
      </x:c>
      <x:c r="E24" s="14" t="str">
        <x:v>16</x:v>
      </x:c>
      <x:c r="F24" s="14" t="str">
        <x:v>preenchimento no rosto; preenchimento para o rosto; regiões; duração</x:v>
      </x:c>
      <x:c r="G24" s="14" t="str">
        <x:v>480; 480; 90+</x:v>
      </x:c>
      <x:c r="H24" s="14" t="str">
        <x:v>Informacional + Comercial</x:v>
      </x:c>
      <x:c r="I24" s="14" t="str">
        <x:v>Cluster ligado à Harmonização/local</x:v>
      </x:c>
      <x:c r="J24" s="14" t="str">
        <x:v>Florianópolis title</x:v>
      </x:c>
      <x:c r="K24" s="14" t="str">
        <x:v>Usar 'ácido hialurônico' como explicação, não como keyword repetida</x:v>
      </x:c>
      <x:c r="L24" s="14" t="str">
        <x:v>Criar página por região facial agora</x:v>
      </x:c>
      <x:c r="M24" s="14" t="str">
        <x:v>FECHADO</x:v>
      </x:c>
    </x:row>
    <x:row r="25">
      <x:c r="A25" s="14" t="str">
        <x:v>Preenchimento Labial</x:v>
      </x:c>
      <x:c r="B25" s="14" t="str">
        <x:v>/preenchimento-labial</x:v>
      </x:c>
      <x:c r="C25" s="14" t="str">
        <x:v>preenchimento labial</x:v>
      </x:c>
      <x:c r="D25" s="14" t="str">
        <x:v>1.900 duração / 1.800 valor</x:v>
      </x:c>
      <x:c r="E25" s="14" t="str">
        <x:v>—</x:v>
      </x:c>
      <x:c r="F25" s="14" t="str">
        <x:v>ácido hialurônico; contorno; proporção; duração; valor</x:v>
      </x:c>
      <x:c r="G25" s="14" t="str">
        <x:v>320 + long tails</x:v>
      </x:c>
      <x:c r="H25" s="14" t="str">
        <x:v>Comercial + Informacional</x:v>
      </x:c>
      <x:c r="I25" s="14" t="str">
        <x:v>Intenção transacional evidente</x:v>
      </x:c>
      <x:c r="J25" s="14" t="str">
        <x:v>Florianópolis title</x:v>
      </x:c>
      <x:c r="K25" s="14" t="str">
        <x:v>Página própria</x:v>
      </x:c>
      <x:c r="L25" s="14" t="str">
        <x:v>Misturar com preenchimento facial genérico</x:v>
      </x:c>
      <x:c r="M25" s="14" t="str">
        <x:v>FECHADO</x:v>
      </x:c>
    </x:row>
    <x:row r="26">
      <x:c r="A26" s="14" t="str">
        <x:v>Botox</x:v>
      </x:c>
      <x:c r="B26" s="14" t="str">
        <x:v>/botox</x:v>
      </x:c>
      <x:c r="C26" s="14" t="str">
        <x:v>botox no rosto</x:v>
      </x:c>
      <x:c r="D26" s="14" t="str">
        <x:v>14.800</x:v>
      </x:c>
      <x:c r="E26" s="14" t="str">
        <x:v>68</x:v>
      </x:c>
      <x:c r="F26" s="14" t="str">
        <x:v>toxina botulínica; botox facial; linhas de expressão; duração; valor</x:v>
      </x:c>
      <x:c r="G26" s="14" t="str">
        <x:v>33.100; 1.900; 610; 880</x:v>
      </x:c>
      <x:c r="H26" s="14" t="str">
        <x:v>Local + Comercial + Informacional</x:v>
      </x:c>
      <x:c r="I26" s="14" t="str">
        <x:v>Local Pack em botox rosto/facial</x:v>
      </x:c>
      <x:c r="J26" s="14" t="str">
        <x:v>Florianópolis title</x:v>
      </x:c>
      <x:c r="K26" s="14" t="str">
        <x:v>SEO orgânico forte</x:v>
      </x:c>
      <x:c r="L26" s="14" t="str">
        <x:v>Usar como Google Ads destination</x:v>
      </x:c>
      <x:c r="M26" s="14" t="str">
        <x:v>FECHADO</x:v>
      </x:c>
    </x:row>
    <x:row r="27">
      <x:c r="A27" s="14" t="str">
        <x:v>Bioestimulador</x:v>
      </x:c>
      <x:c r="B27" s="14" t="str">
        <x:v>/bioestimuladores-de-colageno</x:v>
      </x:c>
      <x:c r="C27" s="14" t="str">
        <x:v>bioestimulador de colágeno</x:v>
      </x:c>
      <x:c r="D27" s="14" t="str">
        <x:v>18.100</x:v>
      </x:c>
      <x:c r="E27" s="14" t="str">
        <x:v>63</x:v>
      </x:c>
      <x:c r="F27" s="14" t="str">
        <x:v>bioestimulador; bioestimulador no rosto; sessões; duração; firmeza da pele</x:v>
      </x:c>
      <x:c r="G27" s="14" t="str">
        <x:v>12.100; 3.200; long tails</x:v>
      </x:c>
      <x:c r="H27" s="14" t="str">
        <x:v>Informacional + Comercial</x:v>
      </x:c>
      <x:c r="I27" s="14" t="str">
        <x:v>Serviço presencial</x:v>
      </x:c>
      <x:c r="J27" s="14" t="str">
        <x:v>Florianópolis title</x:v>
      </x:c>
      <x:c r="K27" s="14" t="str">
        <x:v>Página própria</x:v>
      </x:c>
      <x:c r="L27" s="14" t="str">
        <x:v>Promessa de resultado garantido</x:v>
      </x:c>
      <x:c r="M27" s="14" t="str">
        <x:v>FECHADO</x:v>
      </x:c>
    </x:row>
    <x:row r="28">
      <x:c r="A28" s="14" t="str">
        <x:v>Perfiloplastia</x:v>
      </x:c>
      <x:c r="B28" s="14" t="str">
        <x:v>/perfiloplastia</x:v>
      </x:c>
      <x:c r="C28" s="14" t="str">
        <x:v>perfiloplastia</x:v>
      </x:c>
      <x:c r="D28" s="14" t="str">
        <x:v>390 'o que é'</x:v>
      </x:c>
      <x:c r="E28" s="14" t="str">
        <x:v>4</x:v>
      </x:c>
      <x:c r="F28" s="14" t="str">
        <x:v>antes e depois; preço; com ácido hialurônico; harmonização</x:v>
      </x:c>
      <x:c r="G28" s="14" t="str">
        <x:v>320; 210; 210; 20 L/C</x:v>
      </x:c>
      <x:c r="H28" s="14" t="str">
        <x:v>Informacional + Comercial</x:v>
      </x:c>
      <x:c r="I28" s="14" t="str">
        <x:v>Variação harmonização tem Local Pack</x:v>
      </x:c>
      <x:c r="J28" s="14" t="str">
        <x:v>Florianópolis title</x:v>
      </x:c>
      <x:c r="K28" s="14" t="str">
        <x:v>P1 própria</x:v>
      </x:c>
      <x:c r="L28" s="14" t="str">
        <x:v>Colocar acima de serviços mais demandados no menu</x:v>
      </x:c>
      <x:c r="M28" s="14" t="str">
        <x:v>FECHADO</x:v>
      </x:c>
    </x:row>
  </x:sheetData>
  <x:pageMargins left="0.7" right="0.7" top="0.75" bottom="0.75" header="0.3" footer="0.3"/>
  <x:tableParts count="1">
    <x:tablePart xmlns:r="http://schemas.openxmlformats.org/officeDocument/2006/relationships" r:id="R67ff3902d7fc466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48" hidden="0" customWidth="1"/>
    <x:col min="4" max="4" width="72" hidden="0" customWidth="1"/>
    <x:col min="5" max="5" width="52" hidden="0" customWidth="1"/>
    <x:col min="6" max="6" width="78" hidden="0" customWidth="1"/>
    <x:col min="7" max="7" width="62" hidden="0" customWidth="1"/>
    <x:col min="8" max="8" width="58" hidden="0" customWidth="1"/>
    <x:col min="9" max="9" width="26" hidden="0" customWidth="1"/>
    <x:col min="10" max="10" width="26" hidden="0" customWidth="1"/>
  </x:cols>
  <x:sheetData>
    <x:row r="1" ht="36" customHeight="1">
      <x:c r="A1" s="6" t="str">
        <x:v>Página</x:v>
      </x:c>
      <x:c r="B1" s="6" t="str">
        <x:v>URL</x:v>
      </x:c>
      <x:c r="C1" s="6" t="str">
        <x:v>H1 final</x:v>
      </x:c>
      <x:c r="D1" s="6" t="str">
        <x:v>Subheadline / abertura recomendada</x:v>
      </x:c>
      <x:c r="E1" s="6" t="str">
        <x:v>Title SEO</x:v>
      </x:c>
      <x:c r="F1" s="6" t="str">
        <x:v>Meta description base</x:v>
      </x:c>
      <x:c r="G1" s="6" t="str">
        <x:v>Termos que devem aparecer naturalmente</x:v>
      </x:c>
      <x:c r="H1" s="6" t="str">
        <x:v>FAQ/H2 de maior intenção</x:v>
      </x:c>
      <x:c r="I1" s="6" t="str">
        <x:v>CTA principal</x:v>
      </x:c>
      <x:c r="J1" s="6" t="str">
        <x:v>Status</x:v>
      </x:c>
    </x:row>
    <x:row r="2">
      <x:c r="A2" s="14" t="str">
        <x:v>Home</x:v>
      </x:c>
      <x:c r="B2" s="14" t="str">
        <x:v>/</x:v>
      </x:c>
      <x:c r="C2" s="14" t="str">
        <x:v>Dentista nos Ingleses: odontologia e estética com planejamento individual</x:v>
      </x:c>
      <x:c r="D2" s="14" t="str">
        <x:v>Clínica odontológica nos Ingleses, Norte da Ilha de Florianópolis, com cuidado integrado e tratamentos definidos a partir de uma avaliação completa.</x:v>
      </x:c>
      <x:c r="E2" s="14" t="str">
        <x:v>Dentista nos Ingleses, Florianópolis | Dra. Sara Michelon</x:v>
      </x:c>
      <x:c r="F2" s="14" t="str">
        <x:v>Odontologia e estética nos Ingleses, Florianópolis. Conheça a clínica, equipe e tratamentos da Dra. Sara Michelon e agende sua avaliação.</x:v>
      </x:c>
      <x:c r="G2" s="14" t="str">
        <x:v>dentista nos Ingleses; Norte da Ilha; Florianópolis; clínica odontológica; odontologia; estética orofacial</x:v>
      </x:c>
      <x:c r="H2" s="14" t="str">
        <x:v>Quais tratamentos a clínica realiza? / Onde fica? / Como agendar?</x:v>
      </x:c>
      <x:c r="I2" s="14" t="str">
        <x:v>Agendar uma avaliação</x:v>
      </x:c>
      <x:c r="J2" s="14" t="str">
        <x:v>PRONTA</x:v>
      </x:c>
    </x:row>
    <x:row r="3">
      <x:c r="A3" s="14" t="str">
        <x:v>Facetas Resina</x:v>
      </x:c>
      <x:c r="B3" s="14" t="str">
        <x:v>/facetas-de-resina</x:v>
      </x:c>
      <x:c r="C3" s="14" t="str">
        <x:v>Facetas de Resina e Lentes em Resina</x:v>
      </x:c>
      <x:c r="D3" s="14" t="str">
        <x:v>Mudanças no sorriso com uma abordagem conservadora, planejadas de acordo com dentes, mordida, gengiva e objetivos individuais.</x:v>
      </x:c>
      <x:c r="E3" s="14" t="str">
        <x:v>Facetas de Resina em Florianópolis | Dra. Sara Michelon</x:v>
      </x:c>
      <x:c r="F3" s="14" t="str">
        <x:v>Facetas de resina em Florianópolis com planejamento individual e abordagem conservadora. Entenda desgaste, manutenção, duração e diferenças para porcelana.</x:v>
      </x:c>
      <x:c r="G3" s="14" t="str">
        <x:v>faceta de resina; facetas de resina; lentes em resina; resina composta; desgaste; manutenção</x:v>
      </x:c>
      <x:c r="H3" s="14" t="str">
        <x:v>Faceta de resina desgasta o dente? / Mancha? / Quanto dura? / Resina ou porcelana?</x:v>
      </x:c>
      <x:c r="I3" s="14" t="str">
        <x:v>Agendar uma avaliação</x:v>
      </x:c>
      <x:c r="J3" s="14" t="str">
        <x:v>PRONTA — adaptar texto Sara</x:v>
      </x:c>
    </x:row>
    <x:row r="4">
      <x:c r="A4" s="14" t="str">
        <x:v>Lentes/Porcelana</x:v>
      </x:c>
      <x:c r="B4" s="14" t="str">
        <x:v>/lentes-de-contato-dental</x:v>
      </x:c>
      <x:c r="C4" s="14" t="str">
        <x:v>Lentes de Contato Dental e Facetas de Porcelana</x:v>
      </x:c>
      <x:c r="D4" s="14" t="str">
        <x:v>Planejamento digital, mock-up e indicação individual para mudanças de forma, proporção e cor com cerâmica.</x:v>
      </x:c>
      <x:c r="E4" s="14" t="str">
        <x:v>Lentes de Contato Dental e Facetas de Porcelana | Florianópolis</x:v>
      </x:c>
      <x:c r="F4" s="14" t="str">
        <x:v>Lentes de contato dental e facetas de porcelana em Florianópolis. Veja como funciona o planejamento, mock-up, preparo, manutenção e indicações.</x:v>
      </x:c>
      <x:c r="G4" s="14" t="str">
        <x:v>lentes de contato dental; facetas de porcelana; lentes de porcelana; mock-up; planejamento digital</x:v>
      </x:c>
      <x:c r="H4" s="14" t="str">
        <x:v>Precisa desgastar? / Quanto dura? / Mancha? / Resina ou porcelana?</x:v>
      </x:c>
      <x:c r="I4" s="14" t="str">
        <x:v>Agendar uma avaliação</x:v>
      </x:c>
      <x:c r="J4" s="14" t="str">
        <x:v>PRONTA — adaptar texto Sara</x:v>
      </x:c>
    </x:row>
    <x:row r="5">
      <x:c r="A5" s="14" t="str">
        <x:v>Implantes</x:v>
      </x:c>
      <x:c r="B5" s="14" t="str">
        <x:v>/implantes-dentarios</x:v>
      </x:c>
      <x:c r="C5" s="14" t="str">
        <x:v>Implantes Dentários para substituir um ou mais dentes</x:v>
      </x:c>
      <x:c r="D5" s="14" t="str">
        <x:v>O tratamento começa pelo planejamento da reabilitação: osso, mordida, dentes remanescentes e a prótese que será suportada pelo implante.</x:v>
      </x:c>
      <x:c r="E5" s="14" t="str">
        <x:v>Implantes Dentários em Florianópolis | Clínica nos Ingleses</x:v>
      </x:c>
      <x:c r="F5" s="14" t="str">
        <x:v>Implantes dentários em Florianópolis para substituir um ou mais dentes, com avaliação, tomografia, planejamento e acompanhamento da reabilitação.</x:v>
      </x:c>
      <x:c r="G5" s="14" t="str">
        <x:v>implantes dentários; implante de dente; implantodontia; tomografia; carga imediata; manutenção</x:v>
      </x:c>
      <x:c r="H5" s="14" t="str">
        <x:v>Preciso de enxerto? / Pode colocar dente no mesmo dia? / Vou ficar sem dente?</x:v>
      </x:c>
      <x:c r="I5" s="14" t="str">
        <x:v>Quero avaliar meu caso</x:v>
      </x:c>
      <x:c r="J5" s="14" t="str">
        <x:v>PRONTA — adaptar texto Sara</x:v>
      </x:c>
    </x:row>
    <x:row r="6">
      <x:c r="A6" s="14" t="str">
        <x:v>Prótese Protocolo</x:v>
      </x:c>
      <x:c r="B6" s="14" t="str">
        <x:v>/protese-protocolo</x:v>
      </x:c>
      <x:c r="C6" s="14" t="str">
        <x:v>Prótese Protocolo: dentes fixos sobre implantes</x:v>
      </x:c>
      <x:c r="D6" s="14" t="str">
        <x:v>Uma possibilidade de reabilitação fixa para pacientes que perderam todos ou quase todos os dentes de uma arcada.</x:v>
      </x:c>
      <x:c r="E6" s="14" t="str">
        <x:v>Prótese Protocolo em Florianópolis | Implantes Dentários</x:v>
      </x:c>
      <x:c r="F6" s="14" t="str">
        <x:v>Prótese protocolo em Florianópolis: entenda indicação, implantes, materiais, carga imediata, provisórios e manutenção da prótese fixa.</x:v>
      </x:c>
      <x:c r="G6" s="14" t="str">
        <x:v>prótese protocolo; implante protocolo; prótese fixa sobre implantes; carga imediata; manutenção</x:v>
      </x:c>
      <x:c r="H6" s="14" t="str">
        <x:v>Implante e protocolo são iguais? / Quem ainda tem dentes pode fazer? / Vou ficar sem dentes?</x:v>
      </x:c>
      <x:c r="I6" s="14" t="str">
        <x:v>Quero avaliar meu caso</x:v>
      </x:c>
      <x:c r="J6" s="14" t="str">
        <x:v>PRONTA — extrair do capítulo Implantes</x:v>
      </x:c>
    </x:row>
    <x:row r="7">
      <x:c r="A7" s="14" t="str">
        <x:v>Periodontia</x:v>
      </x:c>
      <x:c r="B7" s="14" t="str">
        <x:v>/periodontia</x:v>
      </x:c>
      <x:c r="C7" s="14" t="str">
        <x:v>Periodontia e Tratamento de Gengiva</x:v>
      </x:c>
      <x:c r="D7" s="14" t="str">
        <x:v>Sangramento, inchaço, retração ou mobilidade podem indicar alterações que precisam de avaliação periodontal.</x:v>
      </x:c>
      <x:c r="E7" s="14" t="str">
        <x:v>Periodontia em Florianópolis | Especialista em Gengiva</x:v>
      </x:c>
      <x:c r="F7" s="14" t="str">
        <x:v>Periodontia e tratamento de gengiva em Florianópolis. Avaliação de gengivite, periodontite, sangramento, retração e saúde ao redor de implantes.</x:v>
      </x:c>
      <x:c r="G7" s="14" t="str">
        <x:v>periodontia; periodontista; especialista em gengiva; gengiva sangrando; periodontite; peri-implantite</x:v>
      </x:c>
      <x:c r="H7" s="14" t="str">
        <x:v>Gengiva sangrando é normal? / Gengivite e periodontite são iguais? / Periodontite tem tratamento?</x:v>
      </x:c>
      <x:c r="I7" s="14" t="str">
        <x:v>Quero avaliar minha gengiva</x:v>
      </x:c>
      <x:c r="J7" s="14" t="str">
        <x:v>PRONTA — adaptar texto Sara</x:v>
      </x:c>
    </x:row>
    <x:row r="8">
      <x:c r="A8" s="14" t="str">
        <x:v>Cirurgia Gengival</x:v>
      </x:c>
      <x:c r="B8" s="14" t="str">
        <x:v>/cirurgia-gengival</x:v>
      </x:c>
      <x:c r="C8" s="14" t="str">
        <x:v>Gengivoplastia e Cirurgia Gengival</x:v>
      </x:c>
      <x:c r="D8" s="14" t="str">
        <x:v>Quando a proporção do sorriso envolve também a gengiva, o planejamento precisa avaliar dentes, tecido gengival e limites biológicos.</x:v>
      </x:c>
      <x:c r="E8" s="14" t="str">
        <x:v>Gengivoplastia e Cirurgia Gengival em Florianópolis</x:v>
      </x:c>
      <x:c r="F8" s="14" t="str">
        <x:v>Cirurgia gengival e gengivoplastia em Florianópolis para casos indicados de contorno gengival, sorriso gengival e retração, após avaliação periodontal.</x:v>
      </x:c>
      <x:c r="G8" s="14" t="str">
        <x:v>gengivoplastia; cirurgia gengival; sorriso gengival; retração gengival; enxerto gengival; aumento de coroa</x:v>
      </x:c>
      <x:c r="H8" s="14" t="str">
        <x:v>Gengivoplastia aumenta o dente? / Todo sorriso gengival precisa cirurgia? / Quando indicar enxerto gengival?</x:v>
      </x:c>
      <x:c r="I8" s="14" t="str">
        <x:v>Agendar uma avaliação</x:v>
      </x:c>
      <x:c r="J8" s="14" t="str">
        <x:v>PRONTA — separar do texto Periodontia</x:v>
      </x:c>
    </x:row>
    <x:row r="9">
      <x:c r="A9" s="14" t="str">
        <x:v>Ortodontia</x:v>
      </x:c>
      <x:c r="B9" s="14" t="str">
        <x:v>/ortodontia</x:v>
      </x:c>
      <x:c r="C9" s="14" t="str">
        <x:v>Ortodontia: aparelhos dentários e alinhadores transparentes</x:v>
      </x:c>
      <x:c r="D9" s="14" t="str">
        <x:v>A escolha entre alinhadores, aparelho autoligado ou convencional começa pelo diagnóstico e pelas movimentações necessárias.</x:v>
      </x:c>
      <x:c r="E9" s="14" t="str">
        <x:v>Ortodontista em Florianópolis | Aparelhos e Alinhadores</x:v>
      </x:c>
      <x:c r="F9" s="14" t="str">
        <x:v>Ortodontia em Florianópolis com aparelhos fixos e alinhadores transparentes. Planejamento individual para crianças, adolescentes e adultos.</x:v>
      </x:c>
      <x:c r="G9" s="14" t="str">
        <x:v>ortodontista Florianópolis; ortodontia; aparelho dentário; aparelho autoligado; alinhadores transparentes</x:v>
      </x:c>
      <x:c r="H9" s="14" t="str">
        <x:v>Alinhador é mais rápido? / Adulto pode usar aparelho? / Quanto tempo dura?</x:v>
      </x:c>
      <x:c r="I9" s="14" t="str">
        <x:v>Agendar avaliação ortodôntica</x:v>
      </x:c>
      <x:c r="J9" s="14" t="str">
        <x:v>PRONTA — adaptar texto Sara</x:v>
      </x:c>
    </x:row>
    <x:row r="10">
      <x:c r="A10" s="14" t="str">
        <x:v>Invisalign</x:v>
      </x:c>
      <x:c r="B10" s="14" t="str">
        <x:v>/invisalign</x:v>
      </x:c>
      <x:c r="C10" s="14" t="str">
        <x:v>Invisalign e Alinhadores Transparentes</x:v>
      </x:c>
      <x:c r="D10" s="14" t="str">
        <x:v>Tratamento ortodôntico discreto e removível, planejado digitalmente conforme as movimentações necessárias e a colaboração do paciente.</x:v>
      </x:c>
      <x:c r="E10" s="14" t="str">
        <x:v>Invisalign em Florianópolis | Alinhadores Transparentes</x:v>
      </x:c>
      <x:c r="F10" s="14" t="str">
        <x:v>Invisalign em Florianópolis e alinhadores transparentes. Saiba como funciona, indicação, tempo de uso e diferenças para aparelho fixo.</x:v>
      </x:c>
      <x:c r="G10" s="14" t="str">
        <x:v>Invisalign Florianópolis; aparelho Invisalign; aparelho invisível; alinhadores transparentes; alinhadores invisíveis</x:v>
      </x:c>
      <x:c r="H10" s="14" t="str">
        <x:v>Invisalign e alinhador são iguais? / Quanto custa? / Quanto tempo usa por dia?</x:v>
      </x:c>
      <x:c r="I10" s="14" t="str">
        <x:v>Agendar avaliação ortodôntica</x:v>
      </x:c>
      <x:c r="J10" s="14" t="str">
        <x:v>PRONTA — preservar URL</x:v>
      </x:c>
    </x:row>
    <x:row r="11">
      <x:c r="A11" s="14" t="str">
        <x:v>Siso</x:v>
      </x:c>
      <x:c r="B11" s="14" t="str">
        <x:v>/extracao-de-siso</x:v>
      </x:c>
      <x:c r="C11" s="14" t="str">
        <x:v>Extração de Siso: avaliação e cirurgia quando indicada</x:v>
      </x:c>
      <x:c r="D11" s="14" t="str">
        <x:v>Nem todo siso precisa ser removido. A indicação depende da posição, sintomas, espaço e relação com estruturas próximas.</x:v>
      </x:c>
      <x:c r="E11" s="14" t="str">
        <x:v>Extração de Siso em Florianópolis | Clínica nos Ingleses</x:v>
      </x:c>
      <x:c r="F11" s="14" t="str">
        <x:v>Extração de siso em Florianópolis com avaliação clínica e radiográfica. Entenda quando remover, quando pedir tomografia e como é o pós-operatório.</x:v>
      </x:c>
      <x:c r="G11" s="14" t="str">
        <x:v>extração de siso; cirurgia do siso; siso incluso; dor no siso; tomografia</x:v>
      </x:c>
      <x:c r="H11" s="14" t="str">
        <x:v>Todo siso precisa tirar? / Posso tirar os quatro? / Precisa tomografia? / Recuperação?</x:v>
      </x:c>
      <x:c r="I11" s="14" t="str">
        <x:v>Quero avaliar meus sisos</x:v>
      </x:c>
      <x:c r="J11" s="14" t="str">
        <x:v>PRONTA — adaptar texto Sara</x:v>
      </x:c>
    </x:row>
    <x:row r="12">
      <x:c r="A12" s="14" t="str">
        <x:v>Bruxismo</x:v>
      </x:c>
      <x:c r="B12" s="14" t="str">
        <x:v>/bruxismo</x:v>
      </x:c>
      <x:c r="C12" s="14" t="str">
        <x:v>Bruxismo, DTM e Dor Orofacial</x:v>
      </x:c>
      <x:c r="D12" s="14" t="str">
        <x:v>Dor na face, tensão na mandíbula, apertamento, estalos e desgaste dos dentes precisam de diagnóstico antes do tratamento.</x:v>
      </x:c>
      <x:c r="E12" s="14" t="str">
        <x:v>Tratamento do Bruxismo em Florianópolis | DTM e Dor Orofacial</x:v>
      </x:c>
      <x:c r="F12" s="14" t="str">
        <x:v>Avaliação de bruxismo, DTM e dor orofacial em Florianópolis. Entenda sintomas, placa estabilizadora, acompanhamento e quando buscar avaliação.</x:v>
      </x:c>
      <x:c r="G12" s="14" t="str">
        <x:v>bruxismo; ranger os dentes; apertamento; DTM; dor orofacial; placa para bruxismo; estalos</x:v>
      </x:c>
      <x:c r="H12" s="14" t="str">
        <x:v>Quais sintomas do bruxismo? / Placa resolve? / Estalo na mandíbula é DTM?</x:v>
      </x:c>
      <x:c r="I12" s="14" t="str">
        <x:v>Agendar uma avaliação</x:v>
      </x:c>
      <x:c r="J12" s="14" t="str">
        <x:v>PRONTA — conteúdo novo da Sara</x:v>
      </x:c>
    </x:row>
    <x:row r="13">
      <x:c r="A13" s="14" t="str">
        <x:v>Canal</x:v>
      </x:c>
      <x:c r="B13" s="14" t="str">
        <x:v>/tratamento-de-canal</x:v>
      </x:c>
      <x:c r="C13" s="14" t="str">
        <x:v>Tratamento de Canal e Endodontia</x:v>
      </x:c>
      <x:c r="D13" s="14" t="str">
        <x:v>Quando a polpa do dente está inflamada ou infectada, o tratamento endodôntico busca controlar o problema e preservar o dente quando possível.</x:v>
      </x:c>
      <x:c r="E13" s="14" t="str">
        <x:v>Tratamento de Canal em Florianópolis | Endodontia</x:v>
      </x:c>
      <x:c r="F13" s="14" t="str">
        <x:v>Tratamento de canal em Florianópolis com avaliação, instrumentação moderna e planejamento da restauração do dente após a endodontia.</x:v>
      </x:c>
      <x:c r="G13" s="14" t="str">
        <x:v>tratamento de canal; canal no dente; endodontia; retratamento de canal; apicectomia</x:v>
      </x:c>
      <x:c r="H13" s="14" t="str">
        <x:v>Canal dói? / Pode ser uma sessão? / Todo dente com dor precisa canal? / Precisa restaurar depois?</x:v>
      </x:c>
      <x:c r="I13" s="14" t="str">
        <x:v>Agendar uma avaliação</x:v>
      </x:c>
      <x:c r="J13" s="14" t="str">
        <x:v>PRONTA — adaptar texto Sara</x:v>
      </x:c>
    </x:row>
    <x:row r="14">
      <x:c r="A14" s="14" t="str">
        <x:v>Reabilitação Oral</x:v>
      </x:c>
      <x:c r="B14" s="14" t="str">
        <x:v>/reabilitacao-oral</x:v>
      </x:c>
      <x:c r="C14" s="14" t="str">
        <x:v>Reabilitação Oral: planejamento integrado do sorriso e da função</x:v>
      </x:c>
      <x:c r="D14" s="14" t="str">
        <x:v>Quando diferentes problemas aparecem ao mesmo tempo, o primeiro passo não é escolher um procedimento: é organizar o diagnóstico e a sequência do tratamento.</x:v>
      </x:c>
      <x:c r="E14" s="14" t="str">
        <x:v>Reabilitação Oral em Florianópolis | Planejamento Integrado</x:v>
      </x:c>
      <x:c r="F14" s="14" t="str">
        <x:v>Reabilitação oral em Florianópolis para casos com dentes ausentes, desgastados, próteses antigas ou múltiplas necessidades. Planejamento integrado da clínica.</x:v>
      </x:c>
      <x:c r="G14" s="14" t="str">
        <x:v>reabilitação oral; dentes desgastados; próteses antigas; vários problemas nos dentes; planejamento integrado</x:v>
      </x:c>
      <x:c r="H14" s="14" t="str">
        <x:v>Por onde começar? / Preciso fazer tudo de uma vez? / Quanto tempo leva? / Quanto custa?</x:v>
      </x:c>
      <x:c r="I14" s="14" t="str">
        <x:v>Agendar uma avaliação</x:v>
      </x:c>
      <x:c r="J14" s="14" t="str">
        <x:v>PRONTA — usar texto Sara</x:v>
      </x:c>
    </x:row>
    <x:row r="15">
      <x:c r="A15" s="14" t="str">
        <x:v>Limpeza</x:v>
      </x:c>
      <x:c r="B15" s="14" t="str">
        <x:v>/limpeza-dental</x:v>
      </x:c>
      <x:c r="C15" s="14" t="str">
        <x:v>Limpeza Dentária e Profilaxia</x:v>
      </x:c>
      <x:c r="D15" s="14" t="str">
        <x:v>A limpeza profissional complementa a higiene diária e faz parte da prevenção e do acompanhamento da saúde bucal.</x:v>
      </x:c>
      <x:c r="E15" s="14" t="str">
        <x:v>Limpeza Dentária em Florianópolis | Profilaxia</x:v>
      </x:c>
      <x:c r="F15" s="14" t="str">
        <x:v>Limpeza dentária e profilaxia em Florianópolis. Entenda quando fazer, como funciona e como a prevenção se integra à manutenção odontológica.</x:v>
      </x:c>
      <x:c r="G15" s="14" t="str">
        <x:v>limpeza dentária; profilaxia dental; limpeza dos dentes; tártaro; prevenção</x:v>
      </x:c>
      <x:c r="H15" s="14" t="str">
        <x:v>Limpeza dói? / De quanto em quanto tempo? / Remove tártaro?</x:v>
      </x:c>
      <x:c r="I15" s="14" t="str">
        <x:v>Agendar uma limpeza</x:v>
      </x:c>
      <x:c r="J15" s="14" t="str">
        <x:v>BASE SEO PRONTA — conteúdo clínico pendente</x:v>
      </x:c>
    </x:row>
    <x:row r="16">
      <x:c r="A16" s="14" t="str">
        <x:v>Clareamento</x:v>
      </x:c>
      <x:c r="B16" s="14" t="str">
        <x:v>/clareamento-dental</x:v>
      </x:c>
      <x:c r="C16" s="14" t="str">
        <x:v>Clareamento Dental supervisionado</x:v>
      </x:c>
      <x:c r="D16" s="14" t="str">
        <x:v>O planejamento do clareamento começa pela avaliação da cor, restaurações existentes e condições dos dentes e gengiva.</x:v>
      </x:c>
      <x:c r="E16" s="14" t="str">
        <x:v>Clareamento Dental em Florianópolis | Dra. Sara Michelon</x:v>
      </x:c>
      <x:c r="F16" s="14" t="str">
        <x:v>Clareamento dental em Florianópolis com avaliação e acompanhamento profissional. Veja opções, sensibilidade, duração e cuidados após o tratamento.</x:v>
      </x:c>
      <x:c r="G16" s="14" t="str">
        <x:v>clareamento dental; clareamento de consultório; clareamento supervisionado; sensibilidade</x:v>
      </x:c>
      <x:c r="H16" s="14" t="str">
        <x:v>Clareamento causa sensibilidade? / Quanto dura? / Consultório ou caseiro?</x:v>
      </x:c>
      <x:c r="I16" s="14" t="str">
        <x:v>Agendar uma avaliação</x:v>
      </x:c>
      <x:c r="J16" s="14" t="str">
        <x:v>BASE SEO PRONTA — conteúdo clínico pendente</x:v>
      </x:c>
    </x:row>
    <x:row r="17">
      <x:c r="A17" s="14" t="str">
        <x:v>Harmonização</x:v>
      </x:c>
      <x:c r="B17" s="14" t="str">
        <x:v>/harmonizacao-facial</x:v>
      </x:c>
      <x:c r="C17" s="14" t="str">
        <x:v>Harmonização Facial: planejamento da face como um conjunto</x:v>
      </x:c>
      <x:c r="D17" s="14" t="str">
        <x:v>A harmonização começa pela análise de proporções, movimento muscular, qualidade da pele, volumes e contornos — não pela escolha de um procedimento.</x:v>
      </x:c>
      <x:c r="E17" s="14" t="str">
        <x:v>Harmonização Facial em Florianópolis | Planejamento Natural</x:v>
      </x:c>
      <x:c r="F17" s="14" t="str">
        <x:v>Harmonização facial em Florianópolis com avaliação individual e foco em naturalidade. Entenda planejamento, Full Face, preenchimentos e limites da abordagem.</x:v>
      </x:c>
      <x:c r="G17" s="14" t="str">
        <x:v>harmonização facial; harmonização facial natural; Full Face; planejamento facial</x:v>
      </x:c>
      <x:c r="H17" s="14" t="str">
        <x:v>O que é Full Face? / Quanto dura? / Harmonização deixa rosto maior?</x:v>
      </x:c>
      <x:c r="I17" s="14" t="str">
        <x:v>Agendar uma avaliação</x:v>
      </x:c>
      <x:c r="J17" s="14" t="str">
        <x:v>PRONTA — usar texto Sara</x:v>
      </x:c>
    </x:row>
    <x:row r="18">
      <x:c r="A18" s="14" t="str">
        <x:v>Preenchimento Facial</x:v>
      </x:c>
      <x:c r="B18" s="14" t="str">
        <x:v>/preenchimento-facial</x:v>
      </x:c>
      <x:c r="C18" s="14" t="str">
        <x:v>Preenchimento Facial com Ácido Hialurônico</x:v>
      </x:c>
      <x:c r="D18" s="14" t="str">
        <x:v>O preenchimento pode ser indicado para suporte, reposição de volume e definição de contornos, sempre considerando a face como um conjunto.</x:v>
      </x:c>
      <x:c r="E18" s="14" t="str">
        <x:v>Preenchimento Facial em Florianópolis | Ácido Hialurônico</x:v>
      </x:c>
      <x:c r="F18" s="14" t="str">
        <x:v>Preenchimento facial em Florianópolis com ácido hialurônico quando indicado. Conheça regiões, objetivos, duração e como funciona o planejamento.</x:v>
      </x:c>
      <x:c r="G18" s="14" t="str">
        <x:v>preenchimento facial; ácido hialurônico; preenchimento no rosto; contorno facial</x:v>
      </x:c>
      <x:c r="H18" s="14" t="str">
        <x:v>O que é? / Quais regiões? / Quanto dura? / Deixa o rosto maior?</x:v>
      </x:c>
      <x:c r="I18" s="14" t="str">
        <x:v>Agendar uma avaliação</x:v>
      </x:c>
      <x:c r="J18" s="14" t="str">
        <x:v>PRONTA — extrair de Harmonização</x:v>
      </x:c>
    </x:row>
    <x:row r="19">
      <x:c r="A19" s="14" t="str">
        <x:v>Preenchimento Labial</x:v>
      </x:c>
      <x:c r="B19" s="14" t="str">
        <x:v>/preenchimento-labial</x:v>
      </x:c>
      <x:c r="C19" s="14" t="str">
        <x:v>Preenchimento Labial com planejamento individual</x:v>
      </x:c>
      <x:c r="D19" s="14" t="str">
        <x:v>O objetivo pode envolver contorno, proporção, projeção, definição ou reposição de volume — não apenas aumentar os lábios.</x:v>
      </x:c>
      <x:c r="E19" s="14" t="str">
        <x:v>Preenchimento Labial em Florianópolis | Dra. Sara Michelon</x:v>
      </x:c>
      <x:c r="F19" s="14" t="str">
        <x:v>Preenchimento labial em Florianópolis com planejamento individual. Entenda contorno, proporção, duração, técnica e relação dos lábios com o perfil facial.</x:v>
      </x:c>
      <x:c r="G19" s="14" t="str">
        <x:v>preenchimento labial; ácido hialurônico; contorno labial; proporção; duração</x:v>
      </x:c>
      <x:c r="H19" s="14" t="str">
        <x:v>Quanto dura? / Dá muito volume? / Como é feito? / Quanto custa?</x:v>
      </x:c>
      <x:c r="I19" s="14" t="str">
        <x:v>Agendar uma avaliação</x:v>
      </x:c>
      <x:c r="J19" s="14" t="str">
        <x:v>PRONTA — extrair de Harmonização</x:v>
      </x:c>
    </x:row>
    <x:row r="20">
      <x:c r="A20" s="14" t="str">
        <x:v>Botox</x:v>
      </x:c>
      <x:c r="B20" s="14" t="str">
        <x:v>/botox</x:v>
      </x:c>
      <x:c r="C20" s="14" t="str">
        <x:v>Toxina Botulínica (Botox) para Linhas de Expressão</x:v>
      </x:c>
      <x:c r="D20" s="14" t="str">
        <x:v>A toxina botulínica atua temporariamente sobre músculos específicos e é planejada conforme anatomia e movimentação facial.</x:v>
      </x:c>
      <x:c r="E20" s="14" t="str">
        <x:v>Botox em Florianópolis | Toxina Botulínica e Linhas de Expressão</x:v>
      </x:c>
      <x:c r="F20" s="14" t="str">
        <x:v>Botox e toxina botulínica em Florianópolis para linhas de expressão, após avaliação individual da anatomia e movimentação facial. Saiba duração e cuidados.</x:v>
      </x:c>
      <x:c r="G20" s="14" t="str">
        <x:v>botox no rosto; botox facial; toxina botulínica; linhas de expressão; rugas dinâmicas</x:v>
      </x:c>
      <x:c r="H20" s="14" t="str">
        <x:v>Quanto dura? / Quando começa efeito? / Quais linhas trata? / Valor?</x:v>
      </x:c>
      <x:c r="I20" s="14" t="str">
        <x:v>Agendar uma avaliação</x:v>
      </x:c>
      <x:c r="J20" s="14" t="str">
        <x:v>PRONTA — SEO orgânico; Ads não</x:v>
      </x:c>
    </x:row>
    <x:row r="21">
      <x:c r="A21" s="14" t="str">
        <x:v>Bioestimuladores</x:v>
      </x:c>
      <x:c r="B21" s="14" t="str">
        <x:v>/bioestimuladores-de-colageno</x:v>
      </x:c>
      <x:c r="C21" s="14" t="str">
        <x:v>Bioestimulador de Colágeno para o Rosto</x:v>
      </x:c>
      <x:c r="D21" s="14" t="str">
        <x:v>Quando o planejamento inclui qualidade e firmeza da pele, os bioestimuladores podem ser indicados para estimular colágeno de forma progressiva.</x:v>
      </x:c>
      <x:c r="E21" s="14" t="str">
        <x:v>Bioestimulador de Colágeno em Florianópolis | Dra. Sara</x:v>
      </x:c>
      <x:c r="F21" s="14" t="str">
        <x:v>Bioestimulador de colágeno em Florianópolis: entenda para que serve, quando aparece o efeito, número de sessões e como é definido o planejamento.</x:v>
      </x:c>
      <x:c r="G21" s="14" t="str">
        <x:v>bioestimulador de colágeno; bioestimulador no rosto; firmeza da pele; sessões</x:v>
      </x:c>
      <x:c r="H21" s="14" t="str">
        <x:v>Bioestimulador dá volume? / Quantas sessões? / Quanto tempo dura?</x:v>
      </x:c>
      <x:c r="I21" s="14" t="str">
        <x:v>Agendar uma avaliação</x:v>
      </x:c>
      <x:c r="J21" s="14" t="str">
        <x:v>PRONTA — extrair de Harmonização</x:v>
      </x:c>
    </x:row>
    <x:row r="22">
      <x:c r="A22" s="14" t="str">
        <x:v>Perfiloplastia</x:v>
      </x:c>
      <x:c r="B22" s="14" t="str">
        <x:v>/perfiloplastia</x:v>
      </x:c>
      <x:c r="C22" s="14" t="str">
        <x:v>Perfiloplastia: equilíbrio entre nariz, lábios e mento</x:v>
      </x:c>
      <x:c r="D22" s="14" t="str">
        <x:v>A perfiloplastia avalia as relações do perfil e define se pequenas intervenções em pontos estratégicos podem melhorar proporções.</x:v>
      </x:c>
      <x:c r="E22" s="14" t="str">
        <x:v>Perfiloplastia em Florianópolis | Harmonização do Perfil</x:v>
      </x:c>
      <x:c r="F22" s="14" t="str">
        <x:v>Perfiloplastia em Florianópolis para avaliação da relação entre nariz, lábios e mento. Entenda como funciona, indicações e possibilidades não cirúrgicas.</x:v>
      </x:c>
      <x:c r="G22" s="14" t="str">
        <x:v>perfiloplastia; perfiloplastia com ácido hialurônico; harmonização do perfil</x:v>
      </x:c>
      <x:c r="H22" s="14" t="str">
        <x:v>O que é? / É permanente? / Quanto dura? / Quanto custa?</x:v>
      </x:c>
      <x:c r="I22" s="14" t="str">
        <x:v>Agendar uma avaliação</x:v>
      </x:c>
      <x:c r="J22" s="14" t="str">
        <x:v>PRONTA — P1</x:v>
      </x:c>
    </x:row>
  </x:sheetData>
  <x:pageMargins left="0.7" right="0.7" top="0.75" bottom="0.75" header="0.3" footer="0.3"/>
  <x:tableParts count="1">
    <x:tablePart xmlns:r="http://schemas.openxmlformats.org/officeDocument/2006/relationships" r:id="R6b5fadefaad64cb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8" hidden="0" customWidth="1"/>
    <x:col min="3" max="3" width="42" hidden="0" customWidth="1"/>
    <x:col min="4" max="4" width="34" hidden="0" customWidth="1"/>
    <x:col min="5" max="5" width="26" hidden="0" customWidth="1"/>
    <x:col min="6" max="6" width="44" hidden="0" customWidth="1"/>
    <x:col min="7" max="7" width="20" hidden="0" customWidth="1"/>
    <x:col min="8" max="8" width="12" hidden="0" customWidth="1"/>
    <x:col min="9" max="9" width="26" hidden="0" customWidth="1"/>
    <x:col min="10" max="10" width="50" hidden="0" customWidth="1"/>
    <x:col min="11" max="11" width="26" hidden="0" customWidth="1"/>
    <x:col min="12" max="12" width="18" hidden="0" customWidth="1"/>
  </x:cols>
  <x:sheetData>
    <x:row r="1" ht="36" customHeight="1">
      <x:c r="A1" s="6" t="str">
        <x:v>Cluster</x:v>
      </x:c>
      <x:c r="B1" s="6" t="str">
        <x:v>Pauta priorizada</x:v>
      </x:c>
      <x:c r="C1" s="6" t="str">
        <x:v>Keyword/pergunta</x:v>
      </x:c>
      <x:c r="D1" s="6" t="str">
        <x:v>Volume evidência</x:v>
      </x:c>
      <x:c r="E1" s="6" t="str">
        <x:v>Intenção</x:v>
      </x:c>
      <x:c r="F1" s="6" t="str">
        <x:v>Página comercial ligada</x:v>
      </x:c>
      <x:c r="G1" s="6" t="str">
        <x:v>Papel no funil</x:v>
      </x:c>
      <x:c r="H1" s="6" t="str">
        <x:v>Prioridade</x:v>
      </x:c>
      <x:c r="I1" s="6" t="str">
        <x:v>Autor/Revisor</x:v>
      </x:c>
      <x:c r="J1" s="6" t="str">
        <x:v>Evitar duplicação com</x:v>
      </x:c>
      <x:c r="K1" s="6" t="str">
        <x:v>CTA</x:v>
      </x:c>
      <x:c r="L1" s="6" t="str">
        <x:v>Status</x:v>
      </x:c>
    </x:row>
    <x:row r="2">
      <x:c r="A2" s="14" t="str">
        <x:v>Histórico</x:v>
      </x:c>
      <x:c r="B2" s="14" t="str">
        <x:v>Como escovar os dentes corretamente</x:v>
      </x:c>
      <x:c r="C2" s="14" t="str">
        <x:v>técnica de Bass</x:v>
      </x:c>
      <x:c r="D2" s="14" t="str">
        <x:v>590; página atual posição 1</x:v>
      </x:c>
      <x:c r="E2" s="14" t="str">
        <x:v>Informacional</x:v>
      </x:c>
      <x:c r="F2" s="14" t="str">
        <x:v>/limpeza-dental</x:v>
      </x:c>
      <x:c r="G2" s="14" t="str">
        <x:v>Topo</x:v>
      </x:c>
      <x:c r="H2" s="14" t="str">
        <x:v>P0</x:v>
      </x:c>
      <x:c r="I2" s="14" t="str">
        <x:v>Dra. Sara</x:v>
      </x:c>
      <x:c r="J2" s="14" t="str">
        <x:v>Manter URL/conteúdo histórico</x:v>
      </x:c>
      <x:c r="K2" s="14" t="str">
        <x:v>Conhecer prevenção</x:v>
      </x:c>
      <x:c r="L2" s="14" t="str">
        <x:v>MIGRAR</x:v>
      </x:c>
    </x:row>
    <x:row r="3">
      <x:c r="A3" s="14" t="str">
        <x:v>Facetas</x:v>
      </x:c>
      <x:c r="B3" s="14" t="str">
        <x:v>Faceta de resina desgasta o dente?</x:v>
      </x:c>
      <x:c r="C3" s="14" t="str">
        <x:v>faceta de resina desgasta o dente</x:v>
      </x:c>
      <x:c r="D3" s="14" t="str">
        <x:v>Long tail relevante no cluster</x:v>
      </x:c>
      <x:c r="E3" s="14" t="str">
        <x:v>Informacional</x:v>
      </x:c>
      <x:c r="F3" s="14" t="str">
        <x:v>/facetas-de-resina</x:v>
      </x:c>
      <x:c r="G3" s="14" t="str">
        <x:v>Topo/Meio</x:v>
      </x:c>
      <x:c r="H3" s="14" t="str">
        <x:v>P0</x:v>
      </x:c>
      <x:c r="I3" s="14" t="str">
        <x:v>Dra. Sara</x:v>
      </x:c>
      <x:c r="J3" s="14" t="str">
        <x:v>FAQ da página deve responder curto; artigo aprofunda casos/planejamento</x:v>
      </x:c>
      <x:c r="K3" s="14" t="str">
        <x:v>Conhecer Facetas</x:v>
      </x:c>
      <x:c r="L3" s="14" t="str">
        <x:v>PLANEJAR</x:v>
      </x:c>
    </x:row>
    <x:row r="4">
      <x:c r="A4" s="14" t="str">
        <x:v>Facetas</x:v>
      </x:c>
      <x:c r="B4" s="14" t="str">
        <x:v>Facetas de resina ou porcelana: como decidir?</x:v>
      </x:c>
      <x:c r="C4" s="14" t="str">
        <x:v>faceta de resina ou porcelana</x:v>
      </x:c>
      <x:c r="D4" s="14" t="str">
        <x:v>Cluster de comparação com forte demanda</x:v>
      </x:c>
      <x:c r="E4" s="14" t="str">
        <x:v>Comparação</x:v>
      </x:c>
      <x:c r="F4" s="14" t="str">
        <x:v>/facetas-de-resina + /lentes-de-contato-dental</x:v>
      </x:c>
      <x:c r="G4" s="14" t="str">
        <x:v>Meio</x:v>
      </x:c>
      <x:c r="H4" s="14" t="str">
        <x:v>P0</x:v>
      </x:c>
      <x:c r="I4" s="14" t="str">
        <x:v>Dra. Sara</x:v>
      </x:c>
      <x:c r="J4" s="14" t="str">
        <x:v>Não duplicar seção comparativa integral</x:v>
      </x:c>
      <x:c r="K4" s="14" t="str">
        <x:v>Comparar tratamentos</x:v>
      </x:c>
      <x:c r="L4" s="14" t="str">
        <x:v>PLANEJAR</x:v>
      </x:c>
    </x:row>
    <x:row r="5">
      <x:c r="A5" s="14" t="str">
        <x:v>Facetas</x:v>
      </x:c>
      <x:c r="B5" s="14" t="str">
        <x:v>Quanto tempo duram as facetas de resina?</x:v>
      </x:c>
      <x:c r="C5" s="14" t="str">
        <x:v>quanto tempo dura faceta de resina</x:v>
      </x:c>
      <x:c r="D5" s="14" t="str">
        <x:v>Long tail do cluster</x:v>
      </x:c>
      <x:c r="E5" s="14" t="str">
        <x:v>Informacional</x:v>
      </x:c>
      <x:c r="F5" s="14" t="str">
        <x:v>/facetas-de-resina</x:v>
      </x:c>
      <x:c r="G5" s="14" t="str">
        <x:v>Meio</x:v>
      </x:c>
      <x:c r="H5" s="14" t="str">
        <x:v>P1</x:v>
      </x:c>
      <x:c r="I5" s="14" t="str">
        <x:v>Dra. Sara</x:v>
      </x:c>
      <x:c r="J5" s="14" t="str">
        <x:v>FAQ curto</x:v>
      </x:c>
      <x:c r="K5" s="14" t="str">
        <x:v>Conhecer Facetas</x:v>
      </x:c>
      <x:c r="L5" s="14" t="str">
        <x:v>PLANEJAR</x:v>
      </x:c>
    </x:row>
    <x:row r="6">
      <x:c r="A6" s="14" t="str">
        <x:v>Porcelana</x:v>
      </x:c>
      <x:c r="B6" s="14" t="str">
        <x:v>Lente de contato dental e faceta de porcelana são a mesma coisa?</x:v>
      </x:c>
      <x:c r="C6" s="14" t="str">
        <x:v>lente de contato dental ou faceta</x:v>
      </x:c>
      <x:c r="D6" s="14" t="str">
        <x:v>Cluster 9.900 + 6.600/5.400</x:v>
      </x:c>
      <x:c r="E6" s="14" t="str">
        <x:v>Informacional</x:v>
      </x:c>
      <x:c r="F6" s="14" t="str">
        <x:v>/lentes-de-contato-dental</x:v>
      </x:c>
      <x:c r="G6" s="14" t="str">
        <x:v>Topo/Meio</x:v>
      </x:c>
      <x:c r="H6" s="14" t="str">
        <x:v>P0</x:v>
      </x:c>
      <x:c r="I6" s="14" t="str">
        <x:v>Dra. Sara</x:v>
      </x:c>
      <x:c r="J6" s="14" t="str">
        <x:v>Página comercial explica resumo</x:v>
      </x:c>
      <x:c r="K6" s="14" t="str">
        <x:v>Conhecer Lentes/Porcelana</x:v>
      </x:c>
      <x:c r="L6" s="14" t="str">
        <x:v>PLANEJAR</x:v>
      </x:c>
    </x:row>
    <x:row r="7">
      <x:c r="A7" s="14" t="str">
        <x:v>Porcelana</x:v>
      </x:c>
      <x:c r="B7" s="14" t="str">
        <x:v>Lente de porcelana desgasta o dente?</x:v>
      </x:c>
      <x:c r="C7" s="14" t="str">
        <x:v>lente de porcelana desgasta o dente</x:v>
      </x:c>
      <x:c r="D7" s="14" t="str">
        <x:v>590/mês</x:v>
      </x:c>
      <x:c r="E7" s="14" t="str">
        <x:v>Informacional</x:v>
      </x:c>
      <x:c r="F7" s="14" t="str">
        <x:v>/lentes-de-contato-dental</x:v>
      </x:c>
      <x:c r="G7" s="14" t="str">
        <x:v>Meio</x:v>
      </x:c>
      <x:c r="H7" s="14" t="str">
        <x:v>P1</x:v>
      </x:c>
      <x:c r="I7" s="14" t="str">
        <x:v>Dra. Sara</x:v>
      </x:c>
      <x:c r="J7" s="14" t="str">
        <x:v>FAQ comercial</x:v>
      </x:c>
      <x:c r="K7" s="14" t="str">
        <x:v>Agendar avaliação</x:v>
      </x:c>
      <x:c r="L7" s="14" t="str">
        <x:v>PLANEJAR</x:v>
      </x:c>
    </x:row>
    <x:row r="8">
      <x:c r="A8" s="14" t="str">
        <x:v>Implantes</x:v>
      </x:c>
      <x:c r="B8" s="14" t="str">
        <x:v>Implante dentário e prótese protocolo: qual a diferença?</x:v>
      </x:c>
      <x:c r="C8" s="14" t="str">
        <x:v>implante x prótese protocolo</x:v>
      </x:c>
      <x:c r="D8" s="14" t="str">
        <x:v>Prótese protocolo 14.800; implante protocolo 990</x:v>
      </x:c>
      <x:c r="E8" s="14" t="str">
        <x:v>Comparação</x:v>
      </x:c>
      <x:c r="F8" s="14" t="str">
        <x:v>/implantes-dentarios + /protese-protocolo</x:v>
      </x:c>
      <x:c r="G8" s="14" t="str">
        <x:v>Meio/Fundo</x:v>
      </x:c>
      <x:c r="H8" s="14" t="str">
        <x:v>P0</x:v>
      </x:c>
      <x:c r="I8" s="14" t="str">
        <x:v>Dra. Camila</x:v>
      </x:c>
      <x:c r="J8" s="14" t="str">
        <x:v>Não repetir FAQ literal</x:v>
      </x:c>
      <x:c r="K8" s="14" t="str">
        <x:v>Conhecer opções</x:v>
      </x:c>
      <x:c r="L8" s="14" t="str">
        <x:v>PLANEJAR</x:v>
      </x:c>
    </x:row>
    <x:row r="9">
      <x:c r="A9" s="14" t="str">
        <x:v>Implantes</x:v>
      </x:c>
      <x:c r="B9" s="14" t="str">
        <x:v>Quando é necessário enxerto ósseo para implante?</x:v>
      </x:c>
      <x:c r="C9" s="14" t="str">
        <x:v>enxerto ósseo para implante</x:v>
      </x:c>
      <x:c r="D9" s="14" t="str">
        <x:v>590/480</x:v>
      </x:c>
      <x:c r="E9" s="14" t="str">
        <x:v>Informacional</x:v>
      </x:c>
      <x:c r="F9" s="14" t="str">
        <x:v>/enxerto-osseo-dentario</x:v>
      </x:c>
      <x:c r="G9" s="14" t="str">
        <x:v>Meio</x:v>
      </x:c>
      <x:c r="H9" s="14" t="str">
        <x:v>P0</x:v>
      </x:c>
      <x:c r="I9" s="14" t="str">
        <x:v>Dra. Camila</x:v>
      </x:c>
      <x:c r="J9" s="14" t="str">
        <x:v>Página de enxerto dá visão comercial</x:v>
      </x:c>
      <x:c r="K9" s="14" t="str">
        <x:v>Conhecer Enxerto</x:v>
      </x:c>
      <x:c r="L9" s="14" t="str">
        <x:v>PLANEJAR</x:v>
      </x:c>
    </x:row>
    <x:row r="10">
      <x:c r="A10" s="14" t="str">
        <x:v>Implantes</x:v>
      </x:c>
      <x:c r="B10" s="14" t="str">
        <x:v>É possível colocar implante e dente no mesmo dia?</x:v>
      </x:c>
      <x:c r="C10" s="14" t="str">
        <x:v>carga imediata implante</x:v>
      </x:c>
      <x:c r="D10" s="14" t="str">
        <x:v>Cluster alta intenção</x:v>
      </x:c>
      <x:c r="E10" s="14" t="str">
        <x:v>Informacional/Comercial</x:v>
      </x:c>
      <x:c r="F10" s="14" t="str">
        <x:v>/implantes-dentarios</x:v>
      </x:c>
      <x:c r="G10" s="14" t="str">
        <x:v>Meio/Fundo</x:v>
      </x:c>
      <x:c r="H10" s="14" t="str">
        <x:v>P1</x:v>
      </x:c>
      <x:c r="I10" s="14" t="str">
        <x:v>Dra. Camila</x:v>
      </x:c>
      <x:c r="J10" s="14" t="str">
        <x:v>FAQ implantes curto</x:v>
      </x:c>
      <x:c r="K10" s="14" t="str">
        <x:v>Avaliar meu caso</x:v>
      </x:c>
      <x:c r="L10" s="14" t="str">
        <x:v>PLANEJAR</x:v>
      </x:c>
    </x:row>
    <x:row r="11">
      <x:c r="A11" s="14" t="str">
        <x:v>Prótese Protocolo</x:v>
      </x:c>
      <x:c r="B11" s="14" t="str">
        <x:v>Quem ainda tem dentes pode fazer prótese protocolo?</x:v>
      </x:c>
      <x:c r="C11" s="14" t="str">
        <x:v>prótese protocolo</x:v>
      </x:c>
      <x:c r="D11" s="14" t="str">
        <x:v>14.800</x:v>
      </x:c>
      <x:c r="E11" s="14" t="str">
        <x:v>Informacional/Comercial</x:v>
      </x:c>
      <x:c r="F11" s="14" t="str">
        <x:v>/protese-protocolo</x:v>
      </x:c>
      <x:c r="G11" s="14" t="str">
        <x:v>Meio/Fundo</x:v>
      </x:c>
      <x:c r="H11" s="14" t="str">
        <x:v>P1</x:v>
      </x:c>
      <x:c r="I11" s="14" t="str">
        <x:v>Dra. Camila</x:v>
      </x:c>
      <x:c r="J11" s="14" t="str">
        <x:v>Página comercial responde resumidamente</x:v>
      </x:c>
      <x:c r="K11" s="14" t="str">
        <x:v>Avaliar meu caso</x:v>
      </x:c>
      <x:c r="L11" s="14" t="str">
        <x:v>PLANEJAR</x:v>
      </x:c>
    </x:row>
    <x:row r="12">
      <x:c r="A12" s="14" t="str">
        <x:v>Periodontia</x:v>
      </x:c>
      <x:c r="B12" s="14" t="str">
        <x:v>Gengiva sangrando é normal?</x:v>
      </x:c>
      <x:c r="C12" s="14" t="str">
        <x:v>gengiva sangrando</x:v>
      </x:c>
      <x:c r="D12" s="14" t="str">
        <x:v>Forte cluster sintomático</x:v>
      </x:c>
      <x:c r="E12" s="14" t="str">
        <x:v>Informacional</x:v>
      </x:c>
      <x:c r="F12" s="14" t="str">
        <x:v>/periodontia</x:v>
      </x:c>
      <x:c r="G12" s="14" t="str">
        <x:v>Topo</x:v>
      </x:c>
      <x:c r="H12" s="14" t="str">
        <x:v>P0</x:v>
      </x:c>
      <x:c r="I12" s="14" t="str">
        <x:v>Periodontista</x:v>
      </x:c>
      <x:c r="J12" s="14" t="str">
        <x:v>FAQ curto</x:v>
      </x:c>
      <x:c r="K12" s="14" t="str">
        <x:v>Conhecer Periodontia</x:v>
      </x:c>
      <x:c r="L12" s="14" t="str">
        <x:v>PLANEJAR</x:v>
      </x:c>
    </x:row>
    <x:row r="13">
      <x:c r="A13" s="14" t="str">
        <x:v>Periodontia</x:v>
      </x:c>
      <x:c r="B13" s="14" t="str">
        <x:v>Gengivite e periodontite: qual a diferença?</x:v>
      </x:c>
      <x:c r="C13" s="14" t="str">
        <x:v>gengivite x periodontite</x:v>
      </x:c>
      <x:c r="D13" s="14" t="str">
        <x:v>Periodontia 27.100</x:v>
      </x:c>
      <x:c r="E13" s="14" t="str">
        <x:v>Informacional</x:v>
      </x:c>
      <x:c r="F13" s="14" t="str">
        <x:v>/periodontia</x:v>
      </x:c>
      <x:c r="G13" s="14" t="str">
        <x:v>Topo</x:v>
      </x:c>
      <x:c r="H13" s="14" t="str">
        <x:v>P1</x:v>
      </x:c>
      <x:c r="I13" s="14" t="str">
        <x:v>Periodontista</x:v>
      </x:c>
      <x:c r="J13" s="14" t="str">
        <x:v>Seção da página comercial</x:v>
      </x:c>
      <x:c r="K13" s="14" t="str">
        <x:v>Conhecer Periodontia</x:v>
      </x:c>
      <x:c r="L13" s="14" t="str">
        <x:v>PLANEJAR</x:v>
      </x:c>
    </x:row>
    <x:row r="14">
      <x:c r="A14" s="14" t="str">
        <x:v>Cirurgia Gengival</x:v>
      </x:c>
      <x:c r="B14" s="14" t="str">
        <x:v>Sorriso gengival: quando a gengivoplastia é indicada?</x:v>
      </x:c>
      <x:c r="C14" s="14" t="str">
        <x:v>gengivoplastia sorriso gengival</x:v>
      </x:c>
      <x:c r="D14" s="14" t="str">
        <x:v>Gengivoplastia 27.100; cirurgia sorriso 390</x:v>
      </x:c>
      <x:c r="E14" s="14" t="str">
        <x:v>Informacional/Comercial</x:v>
      </x:c>
      <x:c r="F14" s="14" t="str">
        <x:v>/cirurgia-gengival</x:v>
      </x:c>
      <x:c r="G14" s="14" t="str">
        <x:v>Meio</x:v>
      </x:c>
      <x:c r="H14" s="14" t="str">
        <x:v>P0</x:v>
      </x:c>
      <x:c r="I14" s="14" t="str">
        <x:v>Periodontista</x:v>
      </x:c>
      <x:c r="J14" s="14" t="str">
        <x:v>FAQ curto</x:v>
      </x:c>
      <x:c r="K14" s="14" t="str">
        <x:v>Agendar avaliação</x:v>
      </x:c>
      <x:c r="L14" s="14" t="str">
        <x:v>PLANEJAR</x:v>
      </x:c>
    </x:row>
    <x:row r="15">
      <x:c r="A15" s="14" t="str">
        <x:v>Cirurgia Gengival</x:v>
      </x:c>
      <x:c r="B15" s="14" t="str">
        <x:v>Retração gengival: quando pode ser necessário enxerto?</x:v>
      </x:c>
      <x:c r="C15" s="14" t="str">
        <x:v>retração gengival enxerto</x:v>
      </x:c>
      <x:c r="D15" s="14" t="str">
        <x:v>Cluster 320–390+</x:v>
      </x:c>
      <x:c r="E15" s="14" t="str">
        <x:v>Informacional</x:v>
      </x:c>
      <x:c r="F15" s="14" t="str">
        <x:v>/cirurgia-gengival</x:v>
      </x:c>
      <x:c r="G15" s="14" t="str">
        <x:v>Meio</x:v>
      </x:c>
      <x:c r="H15" s="14" t="str">
        <x:v>P1</x:v>
      </x:c>
      <x:c r="I15" s="14" t="str">
        <x:v>Periodontista</x:v>
      </x:c>
      <x:c r="J15" s="14" t="str">
        <x:v>Seção da página comercial</x:v>
      </x:c>
      <x:c r="K15" s="14" t="str">
        <x:v>Conhecer Cirurgia Gengival</x:v>
      </x:c>
      <x:c r="L15" s="14" t="str">
        <x:v>PLANEJAR</x:v>
      </x:c>
    </x:row>
    <x:row r="16">
      <x:c r="A16" s="14" t="str">
        <x:v>Ortodontia</x:v>
      </x:c>
      <x:c r="B16" s="14" t="str">
        <x:v>Invisalign ou aparelho fixo: como escolher?</x:v>
      </x:c>
      <x:c r="C16" s="14" t="str">
        <x:v>invisalign ou aparelho fixo</x:v>
      </x:c>
      <x:c r="D16" s="14" t="str">
        <x:v>Invisalign/ortodontia com alta intenção</x:v>
      </x:c>
      <x:c r="E16" s="14" t="str">
        <x:v>Comparação</x:v>
      </x:c>
      <x:c r="F16" s="14" t="str">
        <x:v>/invisalign + /ortodontia</x:v>
      </x:c>
      <x:c r="G16" s="14" t="str">
        <x:v>Meio/Fundo</x:v>
      </x:c>
      <x:c r="H16" s="14" t="str">
        <x:v>P0</x:v>
      </x:c>
      <x:c r="I16" s="14" t="str">
        <x:v>Dra. Sara</x:v>
      </x:c>
      <x:c r="J16" s="14" t="str">
        <x:v>Não duplicar tabela da LP se houver</x:v>
      </x:c>
      <x:c r="K16" s="14" t="str">
        <x:v>Comparar opções</x:v>
      </x:c>
      <x:c r="L16" s="14" t="str">
        <x:v>PLANEJAR</x:v>
      </x:c>
    </x:row>
    <x:row r="17">
      <x:c r="A17" s="14" t="str">
        <x:v>Ortodontia</x:v>
      </x:c>
      <x:c r="B17" s="14" t="str">
        <x:v>Invisalign é a mesma coisa que alinhador transparente?</x:v>
      </x:c>
      <x:c r="C17" s="14" t="str">
        <x:v>invisalign alinhador transparente</x:v>
      </x:c>
      <x:c r="D17" s="14" t="str">
        <x:v>Cluster marca + genérico</x:v>
      </x:c>
      <x:c r="E17" s="14" t="str">
        <x:v>Informacional/Comercial</x:v>
      </x:c>
      <x:c r="F17" s="14" t="str">
        <x:v>/invisalign</x:v>
      </x:c>
      <x:c r="G17" s="14" t="str">
        <x:v>Meio</x:v>
      </x:c>
      <x:c r="H17" s="14" t="str">
        <x:v>P1</x:v>
      </x:c>
      <x:c r="I17" s="14" t="str">
        <x:v>Dra. Sara</x:v>
      </x:c>
      <x:c r="J17" s="14" t="str">
        <x:v>FAQ curto</x:v>
      </x:c>
      <x:c r="K17" s="14" t="str">
        <x:v>Conhecer Invisalign</x:v>
      </x:c>
      <x:c r="L17" s="14" t="str">
        <x:v>PLANEJAR</x:v>
      </x:c>
    </x:row>
    <x:row r="18">
      <x:c r="A18" s="14" t="str">
        <x:v>Ortodontia</x:v>
      </x:c>
      <x:c r="B18" s="14" t="str">
        <x:v>Por que às vezes vale alinhar antes de fazer facetas?</x:v>
      </x:c>
      <x:c r="C18" s="14" t="str">
        <x:v>ortodontia antes de facetas</x:v>
      </x:c>
      <x:c r="D18" s="14" t="str">
        <x:v>Integra dois clusters</x:v>
      </x:c>
      <x:c r="E18" s="14" t="str">
        <x:v>Informacional</x:v>
      </x:c>
      <x:c r="F18" s="14" t="str">
        <x:v>/ortodontia + /facetas-de-resina</x:v>
      </x:c>
      <x:c r="G18" s="14" t="str">
        <x:v>Meio</x:v>
      </x:c>
      <x:c r="H18" s="14" t="str">
        <x:v>P1</x:v>
      </x:c>
      <x:c r="I18" s="14" t="str">
        <x:v>Dra. Sara</x:v>
      </x:c>
      <x:c r="J18" s="14" t="str">
        <x:v>Seções das duas páginas</x:v>
      </x:c>
      <x:c r="K18" s="14" t="str">
        <x:v>Ver planejamento integrado</x:v>
      </x:c>
      <x:c r="L18" s="14" t="str">
        <x:v>PLANEJAR</x:v>
      </x:c>
    </x:row>
    <x:row r="19">
      <x:c r="A19" s="14" t="str">
        <x:v>Bruxismo</x:v>
      </x:c>
      <x:c r="B19" s="14" t="str">
        <x:v>Bruxismo: sintomas que merecem avaliação</x:v>
      </x:c>
      <x:c r="C19" s="14" t="str">
        <x:v>bruxismo sintomas</x:v>
      </x:c>
      <x:c r="D19" s="14" t="str">
        <x:v>2.400; 'rangendo os dentes' 3.600</x:v>
      </x:c>
      <x:c r="E19" s="14" t="str">
        <x:v>Informacional</x:v>
      </x:c>
      <x:c r="F19" s="14" t="str">
        <x:v>/bruxismo</x:v>
      </x:c>
      <x:c r="G19" s="14" t="str">
        <x:v>Topo</x:v>
      </x:c>
      <x:c r="H19" s="14" t="str">
        <x:v>P0</x:v>
      </x:c>
      <x:c r="I19" s="14" t="str">
        <x:v>Responsável DTM</x:v>
      </x:c>
      <x:c r="J19" s="14" t="str">
        <x:v>Página comercial deve dar resumo</x:v>
      </x:c>
      <x:c r="K19" s="14" t="str">
        <x:v>Conhecer Bruxismo</x:v>
      </x:c>
      <x:c r="L19" s="14" t="str">
        <x:v>PLANEJAR</x:v>
      </x:c>
    </x:row>
    <x:row r="20">
      <x:c r="A20" s="14" t="str">
        <x:v>Bruxismo</x:v>
      </x:c>
      <x:c r="B20" s="14" t="str">
        <x:v>Placa para bruxismo resolve todos os casos?</x:v>
      </x:c>
      <x:c r="C20" s="14" t="str">
        <x:v>placa para bruxismo</x:v>
      </x:c>
      <x:c r="D20" s="14" t="str">
        <x:v>Cluster sintomático/comercial</x:v>
      </x:c>
      <x:c r="E20" s="14" t="str">
        <x:v>Informacional</x:v>
      </x:c>
      <x:c r="F20" s="14" t="str">
        <x:v>/bruxismo</x:v>
      </x:c>
      <x:c r="G20" s="14" t="str">
        <x:v>Meio</x:v>
      </x:c>
      <x:c r="H20" s="14" t="str">
        <x:v>P0</x:v>
      </x:c>
      <x:c r="I20" s="14" t="str">
        <x:v>Responsável DTM</x:v>
      </x:c>
      <x:c r="J20" s="14" t="str">
        <x:v>Seção comercial curta</x:v>
      </x:c>
      <x:c r="K20" s="14" t="str">
        <x:v>Agendar avaliação</x:v>
      </x:c>
      <x:c r="L20" s="14" t="str">
        <x:v>PLANEJAR</x:v>
      </x:c>
    </x:row>
    <x:row r="21">
      <x:c r="A21" s="14" t="str">
        <x:v>Canal</x:v>
      </x:c>
      <x:c r="B21" s="14" t="str">
        <x:v>Quando é necessário fazer canal no dente?</x:v>
      </x:c>
      <x:c r="C21" s="14" t="str">
        <x:v>quando é necessário fazer canal no dente</x:v>
      </x:c>
      <x:c r="D21" s="14" t="str">
        <x:v>590</x:v>
      </x:c>
      <x:c r="E21" s="14" t="str">
        <x:v>Informacional</x:v>
      </x:c>
      <x:c r="F21" s="14" t="str">
        <x:v>/tratamento-de-canal</x:v>
      </x:c>
      <x:c r="G21" s="14" t="str">
        <x:v>Topo/Meio</x:v>
      </x:c>
      <x:c r="H21" s="14" t="str">
        <x:v>P0</x:v>
      </x:c>
      <x:c r="I21" s="14" t="str">
        <x:v>Dra. Maria Clara</x:v>
      </x:c>
      <x:c r="J21" s="14" t="str">
        <x:v>FAQ curto</x:v>
      </x:c>
      <x:c r="K21" s="14" t="str">
        <x:v>Conhecer Tratamento de Canal</x:v>
      </x:c>
      <x:c r="L21" s="14" t="str">
        <x:v>PLANEJAR</x:v>
      </x:c>
    </x:row>
    <x:row r="22">
      <x:c r="A22" s="14" t="str">
        <x:v>Canal</x:v>
      </x:c>
      <x:c r="B22" s="14" t="str">
        <x:v>Retratamento de canal: quando pode ser necessário?</x:v>
      </x:c>
      <x:c r="C22" s="14" t="str">
        <x:v>retratamento de canal</x:v>
      </x:c>
      <x:c r="D22" s="14" t="str">
        <x:v>1.600</x:v>
      </x:c>
      <x:c r="E22" s="14" t="str">
        <x:v>Informacional</x:v>
      </x:c>
      <x:c r="F22" s="14" t="str">
        <x:v>/tratamento-de-canal</x:v>
      </x:c>
      <x:c r="G22" s="14" t="str">
        <x:v>Meio</x:v>
      </x:c>
      <x:c r="H22" s="14" t="str">
        <x:v>P1</x:v>
      </x:c>
      <x:c r="I22" s="14" t="str">
        <x:v>Dra. Maria Clara</x:v>
      </x:c>
      <x:c r="J22" s="14" t="str">
        <x:v>Subseção comercial</x:v>
      </x:c>
      <x:c r="K22" s="14" t="str">
        <x:v>Agendar avaliação</x:v>
      </x:c>
      <x:c r="L22" s="14" t="str">
        <x:v>PLANEJAR</x:v>
      </x:c>
    </x:row>
    <x:row r="23">
      <x:c r="A23" s="14" t="str">
        <x:v>Reabilitação</x:v>
      </x:c>
      <x:c r="B23" s="14" t="str">
        <x:v>Tenho vários problemas nos dentes: por onde começar?</x:v>
      </x:c>
      <x:c r="C23" s="14" t="str">
        <x:v>reabilitação oral / vários problemas nos dentes</x:v>
      </x:c>
      <x:c r="D23" s="14" t="str">
        <x:v>Centro 210 L/C + intenção clínica</x:v>
      </x:c>
      <x:c r="E23" s="14" t="str">
        <x:v>Informacional/Comercial</x:v>
      </x:c>
      <x:c r="F23" s="14" t="str">
        <x:v>/reabilitacao-oral</x:v>
      </x:c>
      <x:c r="G23" s="14" t="str">
        <x:v>Meio/Fundo</x:v>
      </x:c>
      <x:c r="H23" s="14" t="str">
        <x:v>P0</x:v>
      </x:c>
      <x:c r="I23" s="14" t="str">
        <x:v>Dra. Sara</x:v>
      </x:c>
      <x:c r="J23" s="14" t="str">
        <x:v>FAQ da página comercial</x:v>
      </x:c>
      <x:c r="K23" s="14" t="str">
        <x:v>Agendar avaliação</x:v>
      </x:c>
      <x:c r="L23" s="14" t="str">
        <x:v>PLANEJAR</x:v>
      </x:c>
    </x:row>
    <x:row r="24">
      <x:c r="A24" s="14" t="str">
        <x:v>Limpeza</x:v>
      </x:c>
      <x:c r="B24" s="14" t="str">
        <x:v>Limpeza dental e profilaxia: existe diferença?</x:v>
      </x:c>
      <x:c r="C24" s="14" t="str">
        <x:v>limpeza dentária / profilaxia dental</x:v>
      </x:c>
      <x:c r="D24" s="14" t="str">
        <x:v>9.900 / 8.100</x:v>
      </x:c>
      <x:c r="E24" s="14" t="str">
        <x:v>Informacional</x:v>
      </x:c>
      <x:c r="F24" s="14" t="str">
        <x:v>/limpeza-dental</x:v>
      </x:c>
      <x:c r="G24" s="14" t="str">
        <x:v>Topo</x:v>
      </x:c>
      <x:c r="H24" s="14" t="str">
        <x:v>P1</x:v>
      </x:c>
      <x:c r="I24" s="14" t="str">
        <x:v>Equipe</x:v>
      </x:c>
      <x:c r="J24" s="14" t="str">
        <x:v>Página comercial</x:v>
      </x:c>
      <x:c r="K24" s="14" t="str">
        <x:v>Agendar limpeza</x:v>
      </x:c>
      <x:c r="L24" s="14" t="str">
        <x:v>PLANEJAR</x:v>
      </x:c>
    </x:row>
    <x:row r="25">
      <x:c r="A25" s="14" t="str">
        <x:v>Clareamento</x:v>
      </x:c>
      <x:c r="B25" s="14" t="str">
        <x:v>Clareamento dental causa sensibilidade?</x:v>
      </x:c>
      <x:c r="C25" s="14" t="str">
        <x:v>clareamento dental sensibilidade</x:v>
      </x:c>
      <x:c r="D25" s="14" t="str">
        <x:v>Cluster de alta demanda</x:v>
      </x:c>
      <x:c r="E25" s="14" t="str">
        <x:v>Informacional</x:v>
      </x:c>
      <x:c r="F25" s="14" t="str">
        <x:v>/clareamento-dental</x:v>
      </x:c>
      <x:c r="G25" s="14" t="str">
        <x:v>Meio</x:v>
      </x:c>
      <x:c r="H25" s="14" t="str">
        <x:v>P1</x:v>
      </x:c>
      <x:c r="I25" s="14" t="str">
        <x:v>Dra. Sara</x:v>
      </x:c>
      <x:c r="J25" s="14" t="str">
        <x:v>FAQ comercial</x:v>
      </x:c>
      <x:c r="K25" s="14" t="str">
        <x:v>Conhecer Clareamento</x:v>
      </x:c>
      <x:c r="L25" s="14" t="str">
        <x:v>PLANEJAR</x:v>
      </x:c>
    </x:row>
    <x:row r="26">
      <x:c r="A26" s="14" t="str">
        <x:v>Diastema</x:v>
      </x:c>
      <x:c r="B26" s="14" t="str">
        <x:v>Dentes separados: resina ou aparelho?</x:v>
      </x:c>
      <x:c r="C26" s="14" t="str">
        <x:v>dentes separados / fechar diastema</x:v>
      </x:c>
      <x:c r="D26" s="14" t="str">
        <x:v>1.600 / 480</x:v>
      </x:c>
      <x:c r="E26" s="14" t="str">
        <x:v>Comparação</x:v>
      </x:c>
      <x:c r="F26" s="14" t="str">
        <x:v>/fechamento-de-diastemas</x:v>
      </x:c>
      <x:c r="G26" s="14" t="str">
        <x:v>Meio</x:v>
      </x:c>
      <x:c r="H26" s="14" t="str">
        <x:v>P1</x:v>
      </x:c>
      <x:c r="I26" s="14" t="str">
        <x:v>Dra. Sara</x:v>
      </x:c>
      <x:c r="J26" s="14" t="str">
        <x:v>Página comercial</x:v>
      </x:c>
      <x:c r="K26" s="14" t="str">
        <x:v>Agendar avaliação</x:v>
      </x:c>
      <x:c r="L26" s="14" t="str">
        <x:v>PLANEJAR</x:v>
      </x:c>
    </x:row>
    <x:row r="27">
      <x:c r="A27" s="14" t="str">
        <x:v>Estética</x:v>
      </x:c>
      <x:c r="B27" s="14" t="str">
        <x:v>O que significa uma harmonização facial com naturalidade?</x:v>
      </x:c>
      <x:c r="C27" s="14" t="str">
        <x:v>harmonização facial natural</x:v>
      </x:c>
      <x:c r="D27" s="14" t="str">
        <x:v>390 L/C + Local Pack</x:v>
      </x:c>
      <x:c r="E27" s="14" t="str">
        <x:v>Informacional/Comercial</x:v>
      </x:c>
      <x:c r="F27" s="14" t="str">
        <x:v>/harmonizacao-facial</x:v>
      </x:c>
      <x:c r="G27" s="14" t="str">
        <x:v>Meio</x:v>
      </x:c>
      <x:c r="H27" s="14" t="str">
        <x:v>P0</x:v>
      </x:c>
      <x:c r="I27" s="14" t="str">
        <x:v>Dra. Sara</x:v>
      </x:c>
      <x:c r="J27" s="14" t="str">
        <x:v>Hero/abordagem da página</x:v>
      </x:c>
      <x:c r="K27" s="14" t="str">
        <x:v>Agendar avaliação</x:v>
      </x:c>
      <x:c r="L27" s="14" t="str">
        <x:v>PLANEJAR</x:v>
      </x:c>
    </x:row>
    <x:row r="28">
      <x:c r="A28" s="14" t="str">
        <x:v>Estética</x:v>
      </x:c>
      <x:c r="B28" s="14" t="str">
        <x:v>Preenchimento facial: o que é e quais regiões podem ser avaliadas?</x:v>
      </x:c>
      <x:c r="C28" s="14" t="str">
        <x:v>o que é preenchimento facial</x:v>
      </x:c>
      <x:c r="D28" s="14" t="str">
        <x:v>210</x:v>
      </x:c>
      <x:c r="E28" s="14" t="str">
        <x:v>Informacional</x:v>
      </x:c>
      <x:c r="F28" s="14" t="str">
        <x:v>/preenchimento-facial</x:v>
      </x:c>
      <x:c r="G28" s="14" t="str">
        <x:v>Topo</x:v>
      </x:c>
      <x:c r="H28" s="14" t="str">
        <x:v>P1</x:v>
      </x:c>
      <x:c r="I28" s="14" t="str">
        <x:v>Dra. Sara</x:v>
      </x:c>
      <x:c r="J28" s="14" t="str">
        <x:v>Página comercial</x:v>
      </x:c>
      <x:c r="K28" s="14" t="str">
        <x:v>Conhecer Preenchimento</x:v>
      </x:c>
      <x:c r="L28" s="14" t="str">
        <x:v>PLANEJAR</x:v>
      </x:c>
    </x:row>
    <x:row r="29">
      <x:c r="A29" s="14" t="str">
        <x:v>Estética</x:v>
      </x:c>
      <x:c r="B29" s="14" t="str">
        <x:v>Quanto tempo dura o preenchimento labial?</x:v>
      </x:c>
      <x:c r="C29" s="14" t="str">
        <x:v>quanto tempo dura preenchimento labial</x:v>
      </x:c>
      <x:c r="D29" s="14" t="str">
        <x:v>1.900</x:v>
      </x:c>
      <x:c r="E29" s="14" t="str">
        <x:v>Informacional/Comercial</x:v>
      </x:c>
      <x:c r="F29" s="14" t="str">
        <x:v>/preenchimento-labial</x:v>
      </x:c>
      <x:c r="G29" s="14" t="str">
        <x:v>Meio/Fundo</x:v>
      </x:c>
      <x:c r="H29" s="14" t="str">
        <x:v>P0</x:v>
      </x:c>
      <x:c r="I29" s="14" t="str">
        <x:v>Dra. Sara</x:v>
      </x:c>
      <x:c r="J29" s="14" t="str">
        <x:v>FAQ curto</x:v>
      </x:c>
      <x:c r="K29" s="14" t="str">
        <x:v>Agendar avaliação</x:v>
      </x:c>
      <x:c r="L29" s="14" t="str">
        <x:v>PLANEJAR</x:v>
      </x:c>
    </x:row>
    <x:row r="30">
      <x:c r="A30" s="14" t="str">
        <x:v>Estética</x:v>
      </x:c>
      <x:c r="B30" s="14" t="str">
        <x:v>Bioestimulador de colágeno: para que serve?</x:v>
      </x:c>
      <x:c r="C30" s="14" t="str">
        <x:v>bioestimulador de colágeno</x:v>
      </x:c>
      <x:c r="D30" s="14" t="str">
        <x:v>18.100</x:v>
      </x:c>
      <x:c r="E30" s="14" t="str">
        <x:v>Informacional</x:v>
      </x:c>
      <x:c r="F30" s="14" t="str">
        <x:v>/bioestimuladores-de-colageno</x:v>
      </x:c>
      <x:c r="G30" s="14" t="str">
        <x:v>Topo/Meio</x:v>
      </x:c>
      <x:c r="H30" s="14" t="str">
        <x:v>P0</x:v>
      </x:c>
      <x:c r="I30" s="14" t="str">
        <x:v>Dra. Sara</x:v>
      </x:c>
      <x:c r="J30" s="14" t="str">
        <x:v>Página comercial</x:v>
      </x:c>
      <x:c r="K30" s="14" t="str">
        <x:v>Conhecer Bioestimuladores</x:v>
      </x:c>
      <x:c r="L30" s="14" t="str">
        <x:v>PLANEJAR</x:v>
      </x:c>
    </x:row>
    <x:row r="31">
      <x:c r="A31" s="14" t="str">
        <x:v>Estética</x:v>
      </x:c>
      <x:c r="B31" s="14" t="str">
        <x:v>Perfiloplastia: o que é e o que avalia?</x:v>
      </x:c>
      <x:c r="C31" s="14" t="str">
        <x:v>perfiloplastia o que é</x:v>
      </x:c>
      <x:c r="D31" s="14" t="str">
        <x:v>390</x:v>
      </x:c>
      <x:c r="E31" s="14" t="str">
        <x:v>Informacional</x:v>
      </x:c>
      <x:c r="F31" s="14" t="str">
        <x:v>/perfiloplastia</x:v>
      </x:c>
      <x:c r="G31" s="14" t="str">
        <x:v>Topo/Meio</x:v>
      </x:c>
      <x:c r="H31" s="14" t="str">
        <x:v>P1</x:v>
      </x:c>
      <x:c r="I31" s="14" t="str">
        <x:v>Dra. Sara</x:v>
      </x:c>
      <x:c r="J31" s="14" t="str">
        <x:v>Página comercial</x:v>
      </x:c>
      <x:c r="K31" s="14" t="str">
        <x:v>Conhecer Perfiloplastia</x:v>
      </x:c>
      <x:c r="L31" s="14" t="str">
        <x:v>PLANEJAR</x:v>
      </x:c>
    </x:row>
  </x:sheetData>
  <x:conditionalFormatting sqref="L2:L31">
    <x:cfRule type="expression" dxfId="8" priority="1">
      <x:formula>OR(L2="Launch",L2="FECHADO",L2="PRONTO",L2="PRIORIDADE ADS")</x:formula>
    </x:cfRule>
    <x:cfRule type="expression" dxfId="9" priority="2">
      <x:formula>ISNUMBER(SEARCH("PEND", L2))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e5f385e7092442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1" hidden="0" customWidth="1"/>
    <x:col min="3" max="3" width="18" hidden="0" customWidth="1"/>
    <x:col min="4" max="4" width="30" hidden="0" customWidth="1"/>
    <x:col min="5" max="5" width="34" hidden="0" customWidth="1"/>
    <x:col min="6" max="6" width="58" hidden="0" customWidth="1"/>
    <x:col min="7" max="7" width="42" hidden="0" customWidth="1"/>
    <x:col min="8" max="8" width="34" hidden="0" customWidth="1"/>
    <x:col min="9" max="9" width="48" hidden="0" customWidth="1"/>
    <x:col min="10" max="10" width="50" hidden="0" customWidth="1"/>
    <x:col min="11" max="11" width="24" hidden="0" customWidth="1"/>
  </x:cols>
  <x:sheetData>
    <x:row r="1" ht="36" customHeight="1">
      <x:c r="A1" s="6" t="str">
        <x:v>Serviço/Página</x:v>
      </x:c>
      <x:c r="B1" s="6" t="str">
        <x:v>URL orgânica</x:v>
      </x:c>
      <x:c r="C1" s="6" t="str">
        <x:v>Pode indexar?</x:v>
      </x:c>
      <x:c r="D1" s="6" t="str">
        <x:v>Usar URL orgânica em Ads?</x:v>
      </x:c>
      <x:c r="E1" s="6" t="str">
        <x:v>Destination recomendado</x:v>
      </x:c>
      <x:c r="F1" s="6" t="str">
        <x:v>Estratégia</x:v>
      </x:c>
      <x:c r="G1" s="6" t="str">
        <x:v>Risco/política</x:v>
      </x:c>
      <x:c r="H1" s="6" t="str">
        <x:v>Layout</x:v>
      </x:c>
      <x:c r="I1" s="6" t="str">
        <x:v>Keyword Ads base</x:v>
      </x:c>
      <x:c r="J1" s="6" t="str">
        <x:v>Antes de ativar</x:v>
      </x:c>
      <x:c r="K1" s="6" t="str">
        <x:v>Status</x:v>
      </x:c>
    </x:row>
    <x:row r="2">
      <x:c r="A2" s="14" t="str">
        <x:v>Avaliação Estética Facial</x:v>
      </x:c>
      <x:c r="B2" s="14" t="str">
        <x:v>/avaliacao-estetica-facial</x:v>
      </x:c>
      <x:c r="C2" s="14" t="str">
        <x:v>noindex</x:v>
      </x:c>
      <x:c r="D2" s="14" t="str">
        <x:v>SIM</x:v>
      </x:c>
      <x:c r="E2" s="14" t="str">
        <x:v>/avaliacao-estetica-facial</x:v>
      </x:c>
      <x:c r="F2" s="14" t="str">
        <x:v>LP dedicada para mídia de estética; mensagem de avaliação/planejamento, sem tentar contornar políticas.</x:v>
      </x:c>
      <x:c r="G2" s="14" t="str">
        <x:v>Saúde/estética; revisar termos e páginas de destino</x:v>
      </x:c>
      <x:c r="H2" s="14" t="str">
        <x:v>Navegação simplificada e idêntica para usuário/AdsBot</x:v>
      </x:c>
      <x:c r="I2" s="14" t="str">
        <x:v>avaliação estética facial; estética facial (somente termos permitidos na ativação)</x:v>
      </x:c>
      <x:c r="J2" s="14" t="str">
        <x:v>Revisar política Google Ads vigente + crawler + tracking</x:v>
      </x:c>
      <x:c r="K2" s="14" t="str">
        <x:v>DESENVOLVER</x:v>
      </x:c>
    </x:row>
    <x:row r="3">
      <x:c r="A3" s="14" t="str">
        <x:v>Botox / Toxina</x:v>
      </x:c>
      <x:c r="B3" s="14" t="str">
        <x:v>/botox</x:v>
      </x:c>
      <x:c r="C3" s="14" t="str">
        <x:v>Sim</x:v>
      </x:c>
      <x:c r="D3" s="14" t="str">
        <x:v>NÃO</x:v>
      </x:c>
      <x:c r="E3" s="14" t="str">
        <x:v>/avaliacao-estetica-facial</x:v>
      </x:c>
      <x:c r="F3" s="14" t="str">
        <x:v>SEO orgânico forte, mas mídia não deve usar esta página como destination.</x:v>
      </x:c>
      <x:c r="G3" s="14" t="str">
        <x:v>Termo de medicamento monitorado/restrito no Google Ads</x:v>
      </x:c>
      <x:c r="H3" s="14" t="str">
        <x:v>Orgânico normal</x:v>
      </x:c>
      <x:c r="I3" s="14" t="str">
        <x:v>NÃO trabalhar Botox em Ads se política impedir</x:v>
      </x:c>
      <x:c r="J3" s="14" t="str">
        <x:v>Revalidar política antes da campanha</x:v>
      </x:c>
      <x:c r="K3" s="14" t="str">
        <x:v>DEFINIDO</x:v>
      </x:c>
    </x:row>
    <x:row r="4">
      <x:c r="A4" s="14" t="str">
        <x:v>Harmonização Facial</x:v>
      </x:c>
      <x:c r="B4" s="14" t="str">
        <x:v>/harmonizacao-facial</x:v>
      </x:c>
      <x:c r="C4" s="14" t="str">
        <x:v>Sim</x:v>
      </x:c>
      <x:c r="D4" s="14" t="str">
        <x:v>PREFERIR NÃO</x:v>
      </x:c>
      <x:c r="E4" s="14" t="str">
        <x:v>/avaliacao-estetica-facial</x:v>
      </x:c>
      <x:c r="F4" s="14" t="str">
        <x:v>Orgânico completo; Ads usa LP mais controlada.</x:v>
      </x:c>
      <x:c r="G4" s="14" t="str">
        <x:v>Conteúdo orgânico menciona toxina/preenchimentos/bioestimuladores</x:v>
      </x:c>
      <x:c r="H4" s="14" t="str">
        <x:v>Orgânico normal; LP separada</x:v>
      </x:c>
      <x:c r="I4" s="14" t="str">
        <x:v>harmonização/estética somente após revisão</x:v>
      </x:c>
      <x:c r="J4" s="14" t="str">
        <x:v>Revisar destination e termos</x:v>
      </x:c>
      <x:c r="K4" s="14" t="str">
        <x:v>DEFINIDO</x:v>
      </x:c>
    </x:row>
    <x:row r="5">
      <x:c r="A5" s="14" t="str">
        <x:v>Preenchimento Facial</x:v>
      </x:c>
      <x:c r="B5" s="14" t="str">
        <x:v>/preenchimento-facial</x:v>
      </x:c>
      <x:c r="C5" s="14" t="str">
        <x:v>Sim</x:v>
      </x:c>
      <x:c r="D5" s="14" t="str">
        <x:v>AVALIAR</x:v>
      </x:c>
      <x:c r="E5" s="14" t="str">
        <x:v>/avaliacao-estetica-facial</x:v>
      </x:c>
      <x:c r="F5" s="14" t="str">
        <x:v>Pode ter campanha própria se conteúdo/termos estiverem compatíveis, mas LP dedicada reduz risco.</x:v>
      </x:c>
      <x:c r="G5" s="14" t="str">
        <x:v>Saúde/estética injetável</x:v>
      </x:c>
      <x:c r="H5" s="14" t="str">
        <x:v>Preferir LP</x:v>
      </x:c>
      <x:c r="I5" s="14" t="str">
        <x:v>preenchimento facial — validar política</x:v>
      </x:c>
      <x:c r="J5" s="14" t="str">
        <x:v>Revisão humana + AdsBot</x:v>
      </x:c>
      <x:c r="K5" s="14" t="str">
        <x:v>REVISAR NA ATIVAÇÃO</x:v>
      </x:c>
    </x:row>
    <x:row r="6">
      <x:c r="A6" s="14" t="str">
        <x:v>Preenchimento Labial</x:v>
      </x:c>
      <x:c r="B6" s="14" t="str">
        <x:v>/preenchimento-labial</x:v>
      </x:c>
      <x:c r="C6" s="14" t="str">
        <x:v>Sim</x:v>
      </x:c>
      <x:c r="D6" s="14" t="str">
        <x:v>AVALIAR</x:v>
      </x:c>
      <x:c r="E6" s="14" t="str">
        <x:v>/avaliacao-estetica-facial</x:v>
      </x:c>
      <x:c r="F6" s="14" t="str">
        <x:v>Mesmo racional do preenchimento facial.</x:v>
      </x:c>
      <x:c r="G6" s="14" t="str">
        <x:v>Saúde/estética injetável</x:v>
      </x:c>
      <x:c r="H6" s="14" t="str">
        <x:v>Preferir LP</x:v>
      </x:c>
      <x:c r="I6" s="14" t="str">
        <x:v>preenchimento labial — validar política</x:v>
      </x:c>
      <x:c r="J6" s="14" t="str">
        <x:v>Revisar política/destination</x:v>
      </x:c>
      <x:c r="K6" s="14" t="str">
        <x:v>REVISAR NA ATIVAÇÃO</x:v>
      </x:c>
    </x:row>
    <x:row r="7">
      <x:c r="A7" s="14" t="str">
        <x:v>Bioestimuladores</x:v>
      </x:c>
      <x:c r="B7" s="14" t="str">
        <x:v>/bioestimuladores-de-colageno</x:v>
      </x:c>
      <x:c r="C7" s="14" t="str">
        <x:v>Sim</x:v>
      </x:c>
      <x:c r="D7" s="14" t="str">
        <x:v>AVALIAR</x:v>
      </x:c>
      <x:c r="E7" s="14" t="str">
        <x:v>/avaliacao-estetica-facial</x:v>
      </x:c>
      <x:c r="F7" s="14" t="str">
        <x:v>Orgânico separado; mídia passa por revisão de política.</x:v>
      </x:c>
      <x:c r="G7" s="14" t="str">
        <x:v>Saúde/estética injetável</x:v>
      </x:c>
      <x:c r="H7" s="14" t="str">
        <x:v>Preferir LP</x:v>
      </x:c>
      <x:c r="I7" s="14" t="str">
        <x:v>bioestimulador — validar política</x:v>
      </x:c>
      <x:c r="J7" s="14" t="str">
        <x:v>Revisar política/destination</x:v>
      </x:c>
      <x:c r="K7" s="14" t="str">
        <x:v>REVISAR NA ATIVAÇÃO</x:v>
      </x:c>
    </x:row>
    <x:row r="8">
      <x:c r="A8" s="14" t="str">
        <x:v>Perfiloplastia</x:v>
      </x:c>
      <x:c r="B8" s="14" t="str">
        <x:v>/perfiloplastia</x:v>
      </x:c>
      <x:c r="C8" s="14" t="str">
        <x:v>Sim</x:v>
      </x:c>
      <x:c r="D8" s="14" t="str">
        <x:v>AVALIAR</x:v>
      </x:c>
      <x:c r="E8" s="14" t="str">
        <x:v>/avaliacao-estetica-facial</x:v>
      </x:c>
      <x:c r="F8" s="14" t="str">
        <x:v>Orgânico; mídia não é prioridade inicial.</x:v>
      </x:c>
      <x:c r="G8" s="14" t="str">
        <x:v>Saúde/estética</x:v>
      </x:c>
      <x:c r="H8" s="14" t="str">
        <x:v>Preferir LP</x:v>
      </x:c>
      <x:c r="I8" s="14" t="str">
        <x:v>perfiloplastia — validar</x:v>
      </x:c>
      <x:c r="J8" s="14" t="str">
        <x:v>Revisar política</x:v>
      </x:c>
      <x:c r="K8" s="14" t="str">
        <x:v>BAIXA PRIORIDADE</x:v>
      </x:c>
    </x:row>
    <x:row r="9">
      <x:c r="A9" s="14" t="str">
        <x:v>Implantes Dentários</x:v>
      </x:c>
      <x:c r="B9" s="14" t="str">
        <x:v>/implantes-dentarios</x:v>
      </x:c>
      <x:c r="C9" s="14" t="str">
        <x:v>Sim</x:v>
      </x:c>
      <x:c r="D9" s="14" t="str">
        <x:v>SIM</x:v>
      </x:c>
      <x:c r="E9" s="14" t="str">
        <x:v>/implantes-dentarios</x:v>
      </x:c>
      <x:c r="F9" s="14" t="str">
        <x:v>Alta aderência keyword→landing; manter página específica.</x:v>
      </x:c>
      <x:c r="G9" s="14" t="str">
        <x:v>Saúde — regras de personalização/públicos</x:v>
      </x:c>
      <x:c r="H9" s="14" t="str">
        <x:v>Página de tratamento</x:v>
      </x:c>
      <x:c r="I9" s="14" t="str">
        <x:v>implantes dentários Florianópolis; implante dentário</x:v>
      </x:c>
      <x:c r="J9" s="14" t="str">
        <x:v>Checar copy, formulário, consentimento e conversões</x:v>
      </x:c>
      <x:c r="K9" s="14" t="str">
        <x:v>PRIORIDADE ADS</x:v>
      </x:c>
    </x:row>
    <x:row r="10">
      <x:c r="A10" s="14" t="str">
        <x:v>Prótese Protocolo</x:v>
      </x:c>
      <x:c r="B10" s="14" t="str">
        <x:v>/protese-protocolo</x:v>
      </x:c>
      <x:c r="C10" s="14" t="str">
        <x:v>Sim</x:v>
      </x:c>
      <x:c r="D10" s="14" t="str">
        <x:v>SIM</x:v>
      </x:c>
      <x:c r="E10" s="14" t="str">
        <x:v>/protese-protocolo</x:v>
      </x:c>
      <x:c r="F10" s="14" t="str">
        <x:v>Alta intenção; landing específica.</x:v>
      </x:c>
      <x:c r="G10" s="14" t="str">
        <x:v>Saúde</x:v>
      </x:c>
      <x:c r="H10" s="14" t="str">
        <x:v>Página de tratamento</x:v>
      </x:c>
      <x:c r="I10" s="14" t="str">
        <x:v>prótese protocolo; implante protocolo</x:v>
      </x:c>
      <x:c r="J10" s="14" t="str">
        <x:v>Checar políticas/claims</x:v>
      </x:c>
      <x:c r="K10" s="14" t="str">
        <x:v>PRIORIDADE ADS</x:v>
      </x:c>
    </x:row>
    <x:row r="11">
      <x:c r="A11" s="14" t="str">
        <x:v>Invisalign</x:v>
      </x:c>
      <x:c r="B11" s="14" t="str">
        <x:v>/invisalign</x:v>
      </x:c>
      <x:c r="C11" s="14" t="str">
        <x:v>Sim</x:v>
      </x:c>
      <x:c r="D11" s="14" t="str">
        <x:v>SIM</x:v>
      </x:c>
      <x:c r="E11" s="14" t="str">
        <x:v>/invisalign</x:v>
      </x:c>
      <x:c r="F11" s="14" t="str">
        <x:v>URL histórica e alta intenção.</x:v>
      </x:c>
      <x:c r="G11" s="14" t="str">
        <x:v>Saúde + marca</x:v>
      </x:c>
      <x:c r="H11" s="14" t="str">
        <x:v>Página de tratamento</x:v>
      </x:c>
      <x:c r="I11" s="14" t="str">
        <x:v>Invisalign Florianópolis; aparelho Invisalign</x:v>
      </x:c>
      <x:c r="J11" s="14" t="str">
        <x:v>Checar marca/copy/conversões</x:v>
      </x:c>
      <x:c r="K11" s="14" t="str">
        <x:v>PRIORIDADE ADS</x:v>
      </x:c>
    </x:row>
    <x:row r="12">
      <x:c r="A12" s="14" t="str">
        <x:v>Ortodontia</x:v>
      </x:c>
      <x:c r="B12" s="14" t="str">
        <x:v>/ortodontia</x:v>
      </x:c>
      <x:c r="C12" s="14" t="str">
        <x:v>Sim</x:v>
      </x:c>
      <x:c r="D12" s="14" t="str">
        <x:v>SIM</x:v>
      </x:c>
      <x:c r="E12" s="14" t="str">
        <x:v>/ortodontia</x:v>
      </x:c>
      <x:c r="F12" s="14" t="str">
        <x:v>Landing geral para aparelho/alinhador.</x:v>
      </x:c>
      <x:c r="G12" s="14" t="str">
        <x:v>Saúde</x:v>
      </x:c>
      <x:c r="H12" s="14" t="str">
        <x:v>Página de tratamento</x:v>
      </x:c>
      <x:c r="I12" s="14" t="str">
        <x:v>ortodontista Florianópolis; aparelho dentário</x:v>
      </x:c>
      <x:c r="J12" s="14" t="str">
        <x:v>Checar tracking</x:v>
      </x:c>
      <x:c r="K12" s="14" t="str">
        <x:v>PRONTO</x:v>
      </x:c>
    </x:row>
    <x:row r="13">
      <x:c r="A13" s="14" t="str">
        <x:v>Facetas de Resina</x:v>
      </x:c>
      <x:c r="B13" s="14" t="str">
        <x:v>/facetas-de-resina</x:v>
      </x:c>
      <x:c r="C13" s="14" t="str">
        <x:v>Sim</x:v>
      </x:c>
      <x:c r="D13" s="14" t="str">
        <x:v>SIM</x:v>
      </x:c>
      <x:c r="E13" s="14" t="str">
        <x:v>/facetas-de-resina</x:v>
      </x:c>
      <x:c r="F13" s="14" t="str">
        <x:v>Landing específica e alinhada à busca.</x:v>
      </x:c>
      <x:c r="G13" s="14" t="str">
        <x:v>Saúde/estética dental</x:v>
      </x:c>
      <x:c r="H13" s="14" t="str">
        <x:v>Página de tratamento</x:v>
      </x:c>
      <x:c r="I13" s="14" t="str">
        <x:v>faceta de resina; facetas de resina</x:v>
      </x:c>
      <x:c r="J13" s="14" t="str">
        <x:v>Checar claims/antes-depois conforme regras aplicáveis</x:v>
      </x:c>
      <x:c r="K13" s="14" t="str">
        <x:v>PRONTO</x:v>
      </x:c>
    </x:row>
    <x:row r="14">
      <x:c r="A14" s="14" t="str">
        <x:v>Lentes/Porcelana</x:v>
      </x:c>
      <x:c r="B14" s="14" t="str">
        <x:v>/lentes-de-contato-dental</x:v>
      </x:c>
      <x:c r="C14" s="14" t="str">
        <x:v>Sim</x:v>
      </x:c>
      <x:c r="D14" s="14" t="str">
        <x:v>SIM</x:v>
      </x:c>
      <x:c r="E14" s="14" t="str">
        <x:v>/lentes-de-contato-dental</x:v>
      </x:c>
      <x:c r="F14" s="14" t="str">
        <x:v>Landing específica.</x:v>
      </x:c>
      <x:c r="G14" s="14" t="str">
        <x:v>Saúde/estética dental</x:v>
      </x:c>
      <x:c r="H14" s="14" t="str">
        <x:v>Página de tratamento</x:v>
      </x:c>
      <x:c r="I14" s="14" t="str">
        <x:v>lente de contato dental; faceta de porcelana</x:v>
      </x:c>
      <x:c r="J14" s="14" t="str">
        <x:v>Checar claims/ativos</x:v>
      </x:c>
      <x:c r="K14" s="14" t="str">
        <x:v>PRONTO</x:v>
      </x:c>
    </x:row>
    <x:row r="15">
      <x:c r="A15" s="14" t="str">
        <x:v>Clareamento Dental</x:v>
      </x:c>
      <x:c r="B15" s="14" t="str">
        <x:v>/clareamento-dental</x:v>
      </x:c>
      <x:c r="C15" s="14" t="str">
        <x:v>Sim</x:v>
      </x:c>
      <x:c r="D15" s="14" t="str">
        <x:v>SIM</x:v>
      </x:c>
      <x:c r="E15" s="14" t="str">
        <x:v>/clareamento-dental</x:v>
      </x:c>
      <x:c r="F15" s="14" t="str">
        <x:v>Landing específica.</x:v>
      </x:c>
      <x:c r="G15" s="14" t="str">
        <x:v>Saúde/estética dental</x:v>
      </x:c>
      <x:c r="H15" s="14" t="str">
        <x:v>Página de tratamento</x:v>
      </x:c>
      <x:c r="I15" s="14" t="str">
        <x:v>clareamento dental Florianópolis</x:v>
      </x:c>
      <x:c r="J15" s="14" t="str">
        <x:v>Checar copy</x:v>
      </x:c>
      <x:c r="K15" s="14" t="str">
        <x:v>PRONTO</x:v>
      </x:c>
    </x:row>
    <x:row r="16">
      <x:c r="A16" s="14" t="str">
        <x:v>Canal</x:v>
      </x:c>
      <x:c r="B16" s="14" t="str">
        <x:v>/tratamento-de-canal</x:v>
      </x:c>
      <x:c r="C16" s="14" t="str">
        <x:v>Sim</x:v>
      </x:c>
      <x:c r="D16" s="14" t="str">
        <x:v>SIM</x:v>
      </x:c>
      <x:c r="E16" s="14" t="str">
        <x:v>/tratamento-de-canal</x:v>
      </x:c>
      <x:c r="F16" s="14" t="str">
        <x:v>Alta intenção por problema/procedimento.</x:v>
      </x:c>
      <x:c r="G16" s="14" t="str">
        <x:v>Saúde</x:v>
      </x:c>
      <x:c r="H16" s="14" t="str">
        <x:v>Página de tratamento</x:v>
      </x:c>
      <x:c r="I16" s="14" t="str">
        <x:v>tratamento de canal; endodontista</x:v>
      </x:c>
      <x:c r="J16" s="14" t="str">
        <x:v>Checar copy/urgência sem claims enganosos</x:v>
      </x:c>
      <x:c r="K16" s="14" t="str">
        <x:v>PRONTO</x:v>
      </x:c>
    </x:row>
    <x:row r="17">
      <x:c r="A17" s="14" t="str">
        <x:v>Siso</x:v>
      </x:c>
      <x:c r="B17" s="14" t="str">
        <x:v>/extracao-de-siso</x:v>
      </x:c>
      <x:c r="C17" s="14" t="str">
        <x:v>Sim</x:v>
      </x:c>
      <x:c r="D17" s="14" t="str">
        <x:v>SIM</x:v>
      </x:c>
      <x:c r="E17" s="14" t="str">
        <x:v>/extracao-de-siso</x:v>
      </x:c>
      <x:c r="F17" s="14" t="str">
        <x:v>Landing de procedimento.</x:v>
      </x:c>
      <x:c r="G17" s="14" t="str">
        <x:v>Saúde</x:v>
      </x:c>
      <x:c r="H17" s="14" t="str">
        <x:v>Página de tratamento</x:v>
      </x:c>
      <x:c r="I17" s="14" t="str">
        <x:v>extração de siso; cirurgia do siso</x:v>
      </x:c>
      <x:c r="J17" s="14" t="str">
        <x:v>Checar copy</x:v>
      </x:c>
      <x:c r="K17" s="14" t="str">
        <x:v>PRONTO</x:v>
      </x:c>
    </x:row>
    <x:row r="18">
      <x:c r="A18" s="14" t="str">
        <x:v>Periodontia</x:v>
      </x:c>
      <x:c r="B18" s="14" t="str">
        <x:v>/periodontia</x:v>
      </x:c>
      <x:c r="C18" s="14" t="str">
        <x:v>Sim</x:v>
      </x:c>
      <x:c r="D18" s="14" t="str">
        <x:v>SIM</x:v>
      </x:c>
      <x:c r="E18" s="14" t="str">
        <x:v>/periodontia</x:v>
      </x:c>
      <x:c r="F18" s="14" t="str">
        <x:v>Landing de especialidade.</x:v>
      </x:c>
      <x:c r="G18" s="14" t="str">
        <x:v>Saúde</x:v>
      </x:c>
      <x:c r="H18" s="14" t="str">
        <x:v>Página de tratamento</x:v>
      </x:c>
      <x:c r="I18" s="14" t="str">
        <x:v>periodontista; tratamento de gengiva</x:v>
      </x:c>
      <x:c r="J18" s="14" t="str">
        <x:v>Checar públicos sensíveis</x:v>
      </x:c>
      <x:c r="K18" s="14" t="str">
        <x:v>PRONTO</x:v>
      </x:c>
    </x:row>
    <x:row r="19">
      <x:c r="A19" s="14" t="str">
        <x:v>Reabilitação Oral</x:v>
      </x:c>
      <x:c r="B19" s="14" t="str">
        <x:v>/reabilitacao-oral</x:v>
      </x:c>
      <x:c r="C19" s="14" t="str">
        <x:v>Sim</x:v>
      </x:c>
      <x:c r="D19" s="14" t="str">
        <x:v>SIM</x:v>
      </x:c>
      <x:c r="E19" s="14" t="str">
        <x:v>/reabilitacao-oral</x:v>
      </x:c>
      <x:c r="F19" s="14" t="str">
        <x:v>Boa landing para casos complexos e campanhas amplas de reabilitação.</x:v>
      </x:c>
      <x:c r="G19" s="14" t="str">
        <x:v>Saúde</x:v>
      </x:c>
      <x:c r="H19" s="14" t="str">
        <x:v>Página de tratamento</x:v>
      </x:c>
      <x:c r="I19" s="14" t="str">
        <x:v>reabilitação oral; clínica reabilitação oral</x:v>
      </x:c>
      <x:c r="J19" s="14" t="str">
        <x:v>Checar conversões</x:v>
      </x:c>
      <x:c r="K19" s="14" t="str">
        <x:v>PRONTO</x:v>
      </x:c>
    </x:row>
  </x:sheetData>
  <x:conditionalFormatting sqref="K2:K19">
    <x:cfRule type="expression" dxfId="10" priority="1">
      <x:formula>OR(K2="Launch",K2="FECHADO",K2="PRONTO",K2="PRIORIDADE ADS")</x:formula>
    </x:cfRule>
    <x:cfRule type="expression" dxfId="11" priority="2">
      <x:formula>ISNUMBER(SEARCH("PEND", K2))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e918008b3c3402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56" hidden="0" customWidth="1"/>
    <x:col min="2" max="2" width="34" hidden="0" customWidth="1"/>
    <x:col min="3" max="3" width="38" hidden="0" customWidth="1"/>
    <x:col min="4" max="4" width="12" hidden="0" customWidth="1"/>
    <x:col min="5" max="5" width="58" hidden="0" customWidth="1"/>
    <x:col min="6" max="6" width="50" hidden="0" customWidth="1"/>
    <x:col min="7" max="7" width="24" hidden="0" customWidth="1"/>
    <x:col min="8" max="8" width="22" hidden="0" customWidth="1"/>
  </x:cols>
  <x:sheetData>
    <x:row r="1" ht="36" customHeight="1">
      <x:c r="A1" s="6" t="str">
        <x:v>URL / ativo atual</x:v>
      </x:c>
      <x:c r="B1" s="6" t="str">
        <x:v>Destino V4</x:v>
      </x:c>
      <x:c r="C1" s="6" t="str">
        <x:v>Resposta planejada</x:v>
      </x:c>
      <x:c r="D1" s="6" t="str">
        <x:v>Prioridade</x:v>
      </x:c>
      <x:c r="E1" s="6" t="str">
        <x:v>Decisão V4</x:v>
      </x:c>
      <x:c r="F1" s="6" t="str">
        <x:v>O que falta validar</x:v>
      </x:c>
      <x:c r="G1" s="6" t="str">
        <x:v>Quando implementar</x:v>
      </x:c>
      <x:c r="H1" s="6" t="str">
        <x:v>Status</x:v>
      </x:c>
    </x:row>
    <x:row r="2">
      <x:c r="A2" s="14" t="str">
        <x:v>https://odontoestetica.net/</x:v>
      </x:c>
      <x:c r="B2" s="14" t="str">
        <x:v>/</x:v>
      </x:c>
      <x:c r="C2" s="14" t="str">
        <x:v>200 manter</x:v>
      </x:c>
      <x:c r="D2" s="14" t="str">
        <x:v>P0</x:v>
      </x:c>
      <x:c r="E2" s="14" t="str">
        <x:v>Preservar Home no mesmo domínio/URL</x:v>
      </x:c>
      <x:c r="F2" s="14" t="str">
        <x:v>QA SEO/title/schema</x:v>
      </x:c>
      <x:c r="G2" s="14" t="str">
        <x:v>Deploy</x:v>
      </x:c>
      <x:c r="H2" s="14" t="str">
        <x:v>FECHADO</x:v>
      </x:c>
    </x:row>
    <x:row r="3">
      <x:c r="A3" s="14" t="str">
        <x:v>https://odontoestetica.net/invisalign</x:v>
      </x:c>
      <x:c r="B3" s="14" t="str">
        <x:v>/invisalign</x:v>
      </x:c>
      <x:c r="C3" s="14" t="str">
        <x:v>200 manter</x:v>
      </x:c>
      <x:c r="D3" s="14" t="str">
        <x:v>P0</x:v>
      </x:c>
      <x:c r="E3" s="14" t="str">
        <x:v>Preservar exatamente a URL</x:v>
      </x:c>
      <x:c r="F3" s="14" t="str">
        <x:v>Migrar conteúdo e medir pós-launch</x:v>
      </x:c>
      <x:c r="G3" s="14" t="str">
        <x:v>Deploy</x:v>
      </x:c>
      <x:c r="H3" s="14" t="str">
        <x:v>FECHADO</x:v>
      </x:c>
    </x:row>
    <x:row r="4">
      <x:c r="A4" s="14" t="str">
        <x:v>https://odontoestetica.net/como-escovar-os-dentes</x:v>
      </x:c>
      <x:c r="B4" s="14" t="str">
        <x:v>/como-escovar-os-dentes</x:v>
      </x:c>
      <x:c r="C4" s="14" t="str">
        <x:v>200 manter</x:v>
      </x:c>
      <x:c r="D4" s="14" t="str">
        <x:v>P0</x:v>
      </x:c>
      <x:c r="E4" s="14" t="str">
        <x:v>Preservar ranking atual</x:v>
      </x:c>
      <x:c r="F4" s="14" t="str">
        <x:v>Revisar conteúdo sem quebrar slug</x:v>
      </x:c>
      <x:c r="G4" s="14" t="str">
        <x:v>Deploy</x:v>
      </x:c>
      <x:c r="H4" s="14" t="str">
        <x:v>FECHADO</x:v>
      </x:c>
    </x:row>
    <x:row r="5">
      <x:c r="A5" s="14" t="str">
        <x:v>https://odontoestetica.net/lentes-de-contato-odontologicas</x:v>
      </x:c>
      <x:c r="B5" s="14" t="str">
        <x:v>/lentes-de-contato-dental</x:v>
      </x:c>
      <x:c r="C5" s="14" t="str">
        <x:v>301</x:v>
      </x:c>
      <x:c r="D5" s="14" t="str">
        <x:v>P0</x:v>
      </x:c>
      <x:c r="E5" s="14" t="str">
        <x:v>Consolidar na URL mais alinhada à busca</x:v>
      </x:c>
      <x:c r="F5" s="14" t="str">
        <x:v>GSC/backlinks para baseline, mas não bloqueia desenvolvimento</x:v>
      </x:c>
      <x:c r="G5" s="14" t="str">
        <x:v>Deploy</x:v>
      </x:c>
      <x:c r="H5" s="14" t="str">
        <x:v>FECHADO</x:v>
      </x:c>
    </x:row>
    <x:row r="6">
      <x:c r="A6" s="14" t="str">
        <x:v>https://odontoestetica.net/odontopediatria-dentista-nos-ingleses-norte-da-ilha</x:v>
      </x:c>
      <x:c r="B6" s="14" t="str">
        <x:v>A definir</x:v>
      </x:c>
      <x:c r="C6" s="14" t="str">
        <x:v>200 até launch; depois 410 ou 301 somente se houver equivalente real</x:v>
      </x:c>
      <x:c r="D6" s="14" t="str">
        <x:v>P0</x:v>
      </x:c>
      <x:c r="E6" s="14" t="str">
        <x:v>Odontopediatria não aparece na lista final de serviços; não redirecionar cegamente.</x:v>
      </x:c>
      <x:c r="F6" s="14" t="str">
        <x:v>GSC: cliques/backlinks + confirmação final de que serviço não é oferecido</x:v>
      </x:c>
      <x:c r="G6" s="14" t="str">
        <x:v>Antes do launch</x:v>
      </x:c>
      <x:c r="H6" s="14" t="str">
        <x:v>PENDÊNCIA GSC</x:v>
      </x:c>
    </x:row>
    <x:row r="7">
      <x:c r="A7" s="14" t="str">
        <x:v>https://odontoestetica.net/hello-world</x:v>
      </x:c>
      <x:c r="B7" s="14" t="str">
        <x:v>—</x:v>
      </x:c>
      <x:c r="C7" s="14" t="str">
        <x:v>410/404</x:v>
      </x:c>
      <x:c r="D7" s="14" t="str">
        <x:v>P1</x:v>
      </x:c>
      <x:c r="E7" s="14" t="str">
        <x:v>Remover lixo WordPress</x:v>
      </x:c>
      <x:c r="F7" s="14" t="str">
        <x:v>Checagem rápida de links</x:v>
      </x:c>
      <x:c r="G7" s="14" t="str">
        <x:v>Deploy</x:v>
      </x:c>
      <x:c r="H7" s="14" t="str">
        <x:v>FECHADO</x:v>
      </x:c>
    </x:row>
    <x:row r="8">
      <x:c r="A8" s="14" t="str">
        <x:v>https://odontoestetica.net/category/uncategorized</x:v>
      </x:c>
      <x:c r="B8" s="14" t="str">
        <x:v>—</x:v>
      </x:c>
      <x:c r="C8" s="14" t="str">
        <x:v>410/404 ou 301 contextual se existir conteúdo útil</x:v>
      </x:c>
      <x:c r="D8" s="14" t="str">
        <x:v>P1</x:v>
      </x:c>
      <x:c r="E8" s="14" t="str">
        <x:v>Não migrar taxonomia vazia</x:v>
      </x:c>
      <x:c r="F8" s="14" t="str">
        <x:v>Crawl final</x:v>
      </x:c>
      <x:c r="G8" s="14" t="str">
        <x:v>Deploy</x:v>
      </x:c>
      <x:c r="H8" s="14" t="str">
        <x:v>FECHADO</x:v>
      </x:c>
    </x:row>
    <x:row r="9">
      <x:c r="A9" s="14" t="str">
        <x:v>https://odontoestetica.net/author/marcos</x:v>
      </x:c>
      <x:c r="B9" s="14" t="str">
        <x:v>—</x:v>
      </x:c>
      <x:c r="C9" s="14" t="str">
        <x:v>410/404</x:v>
      </x:c>
      <x:c r="D9" s="14" t="str">
        <x:v>P2</x:v>
      </x:c>
      <x:c r="E9" s="14" t="str">
        <x:v>Remover arquivo técnico</x:v>
      </x:c>
      <x:c r="F9" s="14" t="str">
        <x:v>Crawl final</x:v>
      </x:c>
      <x:c r="G9" s="14" t="str">
        <x:v>Deploy</x:v>
      </x:c>
      <x:c r="H9" s="14" t="str">
        <x:v>FECHADO</x:v>
      </x:c>
    </x:row>
    <x:row r="10">
      <x:c r="A10" s="14" t="str">
        <x:v>https://odontoestetica.net/author/vinnicius799gmail-com</x:v>
      </x:c>
      <x:c r="B10" s="14" t="str">
        <x:v>—</x:v>
      </x:c>
      <x:c r="C10" s="14" t="str">
        <x:v>410/404</x:v>
      </x:c>
      <x:c r="D10" s="14" t="str">
        <x:v>P2</x:v>
      </x:c>
      <x:c r="E10" s="14" t="str">
        <x:v>Remover arquivo técnico</x:v>
      </x:c>
      <x:c r="F10" s="14" t="str">
        <x:v>Crawl final</x:v>
      </x:c>
      <x:c r="G10" s="14" t="str">
        <x:v>Deploy</x:v>
      </x:c>
      <x:c r="H10" s="14" t="str">
        <x:v>FECHADO</x:v>
      </x:c>
    </x:row>
    <x:row r="11">
      <x:c r="A11" s="14" t="str">
        <x:v>Site antigo Builderall (subdomínio Builderall)</x:v>
      </x:c>
      <x:c r="B11" s="14" t="str">
        <x:v>—</x:v>
      </x:c>
      <x:c r="C11" s="14" t="str">
        <x:v>Despublicar/404/410</x:v>
      </x:c>
      <x:c r="D11" s="14" t="str">
        <x:v>P1</x:v>
      </x:c>
      <x:c r="E11" s="14" t="str">
        <x:v>Remover após checagem simples; não é o domínio oficial da Sara</x:v>
      </x:c>
      <x:c r="F11" s="14" t="str">
        <x:v>Checar GBP/perfis/backlinks evidentes</x:v>
      </x:c>
      <x:c r="G11" s="14" t="str">
        <x:v>Antes ou logo após launch</x:v>
      </x:c>
      <x:c r="H11" s="14" t="str">
        <x:v>FECHADO</x:v>
      </x:c>
    </x:row>
    <x:row r="12">
      <x:c r="A12" s="14" t="str">
        <x:v>WordPress atual</x:v>
      </x:c>
      <x:c r="B12" s="14" t="str">
        <x:v>Next.js + Sanity no mesmo odontoestetica.net</x:v>
      </x:c>
      <x:c r="C12" s="14" t="str">
        <x:v>Troca de aplicação, domínio preservado</x:v>
      </x:c>
      <x:c r="D12" s="14" t="str">
        <x:v>P0</x:v>
      </x:c>
      <x:c r="E12" s="14" t="str">
        <x:v>Migrar por URL, não 'reiniciar' o site</x:v>
      </x:c>
      <x:c r="F12" s="14" t="str">
        <x:v>Crawl completo + GSC + redirects</x:v>
      </x:c>
      <x:c r="G12" s="14" t="str">
        <x:v>Deploy</x:v>
      </x:c>
      <x:c r="H12" s="14" t="str">
        <x:v>FECHADO</x:v>
      </x:c>
    </x:row>
  </x:sheetData>
  <x:conditionalFormatting sqref="H2:H12">
    <x:cfRule type="expression" dxfId="12" priority="1">
      <x:formula>OR(H2="Launch",H2="FECHADO",H2="PRONTO",H2="PRIORIDADE ADS")</x:formula>
    </x:cfRule>
    <x:cfRule type="expression" dxfId="13" priority="2">
      <x:formula>ISNUMBER(SEARCH("PEND", H2))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3e40b44f8ee4e6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70" hidden="0" customWidth="1"/>
    <x:col min="4" max="4" width="58" hidden="0" customWidth="1"/>
    <x:col min="5" max="5" width="12" hidden="0" customWidth="1"/>
    <x:col min="6" max="6" width="22" hidden="0" customWidth="1"/>
  </x:cols>
  <x:sheetData>
    <x:row r="1" ht="36" customHeight="1">
      <x:c r="A1" s="6" t="str">
        <x:v>Bloco</x:v>
      </x:c>
      <x:c r="B1" s="6" t="str">
        <x:v>Requisito</x:v>
      </x:c>
      <x:c r="C1" s="6" t="str">
        <x:v>Implementação V4</x:v>
      </x:c>
      <x:c r="D1" s="6" t="str">
        <x:v>Aceite antes do launch</x:v>
      </x:c>
      <x:c r="E1" s="6" t="str">
        <x:v>Prioridade</x:v>
      </x:c>
      <x:c r="F1" s="6" t="str">
        <x:v>Status Dev</x:v>
      </x:c>
    </x:row>
    <x:row r="2">
      <x:c r="A2" s="14" t="str">
        <x:v>Renderização</x:v>
      </x:c>
      <x:c r="B2" s="14" t="str">
        <x:v>Next.js</x:v>
      </x:c>
      <x:c r="C2" s="14" t="str">
        <x:v>Server Components/static generation por padrão; Client Components apenas quando necessários.</x:v>
      </x:c>
      <x:c r="D2" s="14" t="str">
        <x:v>Páginas rastreáveis sem depender de JS para conteúdo principal</x:v>
      </x:c>
      <x:c r="E2" s="14" t="str">
        <x:v>P0</x:v>
      </x:c>
      <x:c r="F2" s="14" t="str">
        <x:v>IMPLEMENTAR</x:v>
      </x:c>
    </x:row>
    <x:row r="3">
      <x:c r="A3" s="14" t="str">
        <x:v>Sanity</x:v>
      </x:c>
      <x:c r="B3" s="14" t="str">
        <x:v>Conteúdo</x:v>
      </x:c>
      <x:c r="C3" s="14" t="str">
        <x:v>Dados clínicos vêm do Sanity; preview/staging separado.</x:v>
      </x:c>
      <x:c r="D3" s="14" t="str">
        <x:v>Sem conteúdo crítico hardcoded que impeça edição</x:v>
      </x:c>
      <x:c r="E3" s="14" t="str">
        <x:v>P0</x:v>
      </x:c>
      <x:c r="F3" s="14" t="str">
        <x:v>IMPLEMENTAR</x:v>
      </x:c>
    </x:row>
    <x:row r="4">
      <x:c r="A4" s="14" t="str">
        <x:v>Staging</x:v>
      </x:c>
      <x:c r="B4" s="14" t="str">
        <x:v>noindex</x:v>
      </x:c>
      <x:c r="C4" s="14" t="str">
        <x:v>Staging com noindex e proteção adequada; produção liberada no launch.</x:v>
      </x:c>
      <x:c r="D4" s="14" t="str">
        <x:v>Nenhuma URL de staging no índice</x:v>
      </x:c>
      <x:c r="E4" s="14" t="str">
        <x:v>P0</x:v>
      </x:c>
      <x:c r="F4" s="14" t="str">
        <x:v>IMPLEMENTAR</x:v>
      </x:c>
    </x:row>
    <x:row r="5">
      <x:c r="A5" s="14" t="str">
        <x:v>Indexação</x:v>
      </x:c>
      <x:c r="B5" s="14" t="str">
        <x:v>sitemap.xml</x:v>
      </x:c>
      <x:c r="C5" s="14" t="str">
        <x:v>Sitemap dinâmico apenas com URLs indexáveis/canônicas.</x:v>
      </x:c>
      <x:c r="D5" s="14" t="str">
        <x:v>Validado e enviado ao Search Console</x:v>
      </x:c>
      <x:c r="E5" s="14" t="str">
        <x:v>P0</x:v>
      </x:c>
      <x:c r="F5" s="14" t="str">
        <x:v>IMPLEMENTAR</x:v>
      </x:c>
    </x:row>
    <x:row r="6">
      <x:c r="A6" s="14" t="str">
        <x:v>Crawl</x:v>
      </x:c>
      <x:c r="B6" s="14" t="str">
        <x:v>robots.txt</x:v>
      </x:c>
      <x:c r="C6" s="14" t="str">
        <x:v>Permitir Googlebot e AdsBot em produção; sitemap declarado.</x:v>
      </x:c>
      <x:c r="D6" s="14" t="str">
        <x:v>Sem bloqueios acidentais</x:v>
      </x:c>
      <x:c r="E6" s="14" t="str">
        <x:v>P0</x:v>
      </x:c>
      <x:c r="F6" s="14" t="str">
        <x:v>IMPLEMENTAR</x:v>
      </x:c>
    </x:row>
    <x:row r="7">
      <x:c r="A7" s="14" t="str">
        <x:v>Canonicals</x:v>
      </x:c>
      <x:c r="B7" s="14" t="str">
        <x:v>self canonical</x:v>
      </x:c>
      <x:c r="C7" s="14" t="str">
        <x:v>Canonical próprio em páginas principais; exceções explícitas.</x:v>
      </x:c>
      <x:c r="D7" s="14" t="str">
        <x:v>Nenhum canonical conflitante</x:v>
      </x:c>
      <x:c r="E7" s="14" t="str">
        <x:v>P0</x:v>
      </x:c>
      <x:c r="F7" s="14" t="str">
        <x:v>IMPLEMENTAR</x:v>
      </x:c>
    </x:row>
    <x:row r="8">
      <x:c r="A8" s="14" t="str">
        <x:v>Redirects</x:v>
      </x:c>
      <x:c r="B8" s="14" t="str">
        <x:v>301/308</x:v>
      </x:c>
      <x:c r="C8" s="14" t="str">
        <x:v>Tabela 08 implementada em uma única etapa, sem cadeias.</x:v>
      </x:c>
      <x:c r="D8" s="14" t="str">
        <x:v>Crawl não encontra redirect chains</x:v>
      </x:c>
      <x:c r="E8" s="14" t="str">
        <x:v>P0</x:v>
      </x:c>
      <x:c r="F8" s="14" t="str">
        <x:v>IMPLEMENTAR</x:v>
      </x:c>
    </x:row>
    <x:row r="9">
      <x:c r="A9" s="14" t="str">
        <x:v>Titles/H1</x:v>
      </x:c>
      <x:c r="B9" s="14" t="str">
        <x:v>Mapeamento V4</x:v>
      </x:c>
      <x:c r="C9" s="14" t="str">
        <x:v>Um foco principal por URL conforme abas 04/05.</x:v>
      </x:c>
      <x:c r="D9" s="14" t="str">
        <x:v>Sem titles duplicados relevantes</x:v>
      </x:c>
      <x:c r="E9" s="14" t="str">
        <x:v>P0</x:v>
      </x:c>
      <x:c r="F9" s="14" t="str">
        <x:v>IMPLEMENTAR</x:v>
      </x:c>
    </x:row>
    <x:row r="10">
      <x:c r="A10" s="14" t="str">
        <x:v>Meta descriptions</x:v>
      </x:c>
      <x:c r="B10" s="14" t="str">
        <x:v>Dinâmicas</x:v>
      </x:c>
      <x:c r="C10" s="14" t="str">
        <x:v>Campo no Sanity com default/fallback por tipo.</x:v>
      </x:c>
      <x:c r="D10" s="14" t="str">
        <x:v>Sem duplicações em páginas prioritárias</x:v>
      </x:c>
      <x:c r="E10" s="14" t="str">
        <x:v>P1</x:v>
      </x:c>
      <x:c r="F10" s="14" t="str">
        <x:v>IMPLEMENTAR</x:v>
      </x:c>
    </x:row>
    <x:row r="11">
      <x:c r="A11" s="14" t="str">
        <x:v>Local SEO</x:v>
      </x:c>
      <x:c r="B11" s="14" t="str">
        <x:v>NAP</x:v>
      </x:c>
      <x:c r="C11" s="14" t="str">
        <x:v>siteSettings como fonte única; mesma informação do GBP.</x:v>
      </x:c>
      <x:c r="D11" s="14" t="str">
        <x:v>Site = GBP = dados estruturados</x:v>
      </x:c>
      <x:c r="E11" s="14" t="str">
        <x:v>P0</x:v>
      </x:c>
      <x:c r="F11" s="14" t="str">
        <x:v>IMPLEMENTAR</x:v>
      </x:c>
    </x:row>
    <x:row r="12">
      <x:c r="A12" s="14" t="str">
        <x:v>Local SEO</x:v>
      </x:c>
      <x:c r="B12" s="14" t="str">
        <x:v>Geo</x:v>
      </x:c>
      <x:c r="C12" s="14" t="str">
        <x:v>Ingleses localização; Norte da Ilha/Florianópolis contexto; sem doorway por bairro.</x:v>
      </x:c>
      <x:c r="D12" s="14" t="str">
        <x:v>Nenhuma falsa unidade</x:v>
      </x:c>
      <x:c r="E12" s="14" t="str">
        <x:v>P0</x:v>
      </x:c>
      <x:c r="F12" s="14" t="str">
        <x:v>IMPLEMENTAR</x:v>
      </x:c>
    </x:row>
    <x:row r="13">
      <x:c r="A13" s="14" t="str">
        <x:v>Schema</x:v>
      </x:c>
      <x:c r="B13" s="14" t="str">
        <x:v>Dentist/LocalBusiness</x:v>
      </x:c>
      <x:c r="C13" s="14" t="str">
        <x:v>JSON-LD da clínica com endereço, telefone, horário, geo e sameAs.</x:v>
      </x:c>
      <x:c r="D13" s="14" t="str">
        <x:v>Validar schema sem campos inventados</x:v>
      </x:c>
      <x:c r="E13" s="14" t="str">
        <x:v>P0</x:v>
      </x:c>
      <x:c r="F13" s="14" t="str">
        <x:v>IMPLEMENTAR</x:v>
      </x:c>
    </x:row>
    <x:row r="14">
      <x:c r="A14" s="14" t="str">
        <x:v>Schema</x:v>
      </x:c>
      <x:c r="B14" s="14" t="str">
        <x:v>Person</x:v>
      </x:c>
      <x:c r="C14" s="14" t="str">
        <x:v>Profissionais conectados aos tratamentos e conteúdos revisados.</x:v>
      </x:c>
      <x:c r="D14" s="14" t="str">
        <x:v>CRO/formação reais e confirmados</x:v>
      </x:c>
      <x:c r="E14" s="14" t="str">
        <x:v>P1</x:v>
      </x:c>
      <x:c r="F14" s="14" t="str">
        <x:v>IMPLEMENTAR</x:v>
      </x:c>
    </x:row>
    <x:row r="15">
      <x:c r="A15" s="14" t="str">
        <x:v>Schema</x:v>
      </x:c>
      <x:c r="B15" s="14" t="str">
        <x:v>BreadcrumbList</x:v>
      </x:c>
      <x:c r="C15" s="14" t="str">
        <x:v>Breadcrumbs em tratamentos, perfis e artigos.</x:v>
      </x:c>
      <x:c r="D15" s="14" t="str">
        <x:v>Sem inconsistência com navegação</x:v>
      </x:c>
      <x:c r="E15" s="14" t="str">
        <x:v>P1</x:v>
      </x:c>
      <x:c r="F15" s="14" t="str">
        <x:v>IMPLEMENTAR</x:v>
      </x:c>
    </x:row>
    <x:row r="16">
      <x:c r="A16" s="14" t="str">
        <x:v>Conteúdo YMYL</x:v>
      </x:c>
      <x:c r="B16" s="14" t="str">
        <x:v>Autoria/revisão</x:v>
      </x:c>
      <x:c r="C16" s="14" t="str">
        <x:v>Professional responsável/revisor por treatment/article.</x:v>
      </x:c>
      <x:c r="D16" s="14" t="str">
        <x:v>Informação clínica com autoria clara</x:v>
      </x:c>
      <x:c r="E16" s="14" t="str">
        <x:v>P0</x:v>
      </x:c>
      <x:c r="F16" s="14" t="str">
        <x:v>IMPLEMENTAR</x:v>
      </x:c>
    </x:row>
    <x:row r="17">
      <x:c r="A17" s="14" t="str">
        <x:v>Internal linking</x:v>
      </x:c>
      <x:c r="B17" s="14" t="str">
        <x:v>Clusters</x:v>
      </x:c>
      <x:c r="C17" s="14" t="str">
        <x:v>Links programáticos e editoriais: serviço↔profissional↔artigo↔manutenção↔relacionados.</x:v>
      </x:c>
      <x:c r="D17" s="14" t="str">
        <x:v>Nenhuma página P0/P1 órfã</x:v>
      </x:c>
      <x:c r="E17" s="14" t="str">
        <x:v>P0</x:v>
      </x:c>
      <x:c r="F17" s="14" t="str">
        <x:v>IMPLEMENTAR</x:v>
      </x:c>
    </x:row>
    <x:row r="18">
      <x:c r="A18" s="14" t="str">
        <x:v>Performance</x:v>
      </x:c>
      <x:c r="B18" s="14" t="str">
        <x:v>LCP</x:v>
      </x:c>
      <x:c r="C18" s="14" t="str">
        <x:v>Hero otimizado, priority apenas onde necessário, imagens dimensionadas.</x:v>
      </x:c>
      <x:c r="D18" s="14" t="str">
        <x:v>Meta &lt;2,5s em CWV real</x:v>
      </x:c>
      <x:c r="E18" s="14" t="str">
        <x:v>P0</x:v>
      </x:c>
      <x:c r="F18" s="14" t="str">
        <x:v>IMPLEMENTAR</x:v>
      </x:c>
    </x:row>
    <x:row r="19">
      <x:c r="A19" s="14" t="str">
        <x:v>Performance</x:v>
      </x:c>
      <x:c r="B19" s="14" t="str">
        <x:v>INP</x:v>
      </x:c>
      <x:c r="C19" s="14" t="str">
        <x:v>Pouco JS; componentes interativos isolados.</x:v>
      </x:c>
      <x:c r="D19" s="14" t="str">
        <x:v>Meta &lt;200ms</x:v>
      </x:c>
      <x:c r="E19" s="14" t="str">
        <x:v>P0</x:v>
      </x:c>
      <x:c r="F19" s="14" t="str">
        <x:v>IMPLEMENTAR</x:v>
      </x:c>
    </x:row>
    <x:row r="20">
      <x:c r="A20" s="14" t="str">
        <x:v>Performance</x:v>
      </x:c>
      <x:c r="B20" s="14" t="str">
        <x:v>CLS</x:v>
      </x:c>
      <x:c r="C20" s="14" t="str">
        <x:v>Dimensões reservadas para imagens/fontes/embeds.</x:v>
      </x:c>
      <x:c r="D20" s="14" t="str">
        <x:v>Meta &lt;0,1</x:v>
      </x:c>
      <x:c r="E20" s="14" t="str">
        <x:v>P0</x:v>
      </x:c>
      <x:c r="F20" s="14" t="str">
        <x:v>IMPLEMENTAR</x:v>
      </x:c>
    </x:row>
    <x:row r="21">
      <x:c r="A21" s="14" t="str">
        <x:v>Imagens</x:v>
      </x:c>
      <x:c r="B21" s="14" t="str">
        <x:v>Next/Image + Sanity CDN</x:v>
      </x:c>
      <x:c r="C21" s="14" t="str">
        <x:v>AVIF/WebP, srcset, lazy abaixo da dobra, alt contextual.</x:v>
      </x:c>
      <x:c r="D21" s="14" t="str">
        <x:v>Sem assets superdimensionados</x:v>
      </x:c>
      <x:c r="E21" s="14" t="str">
        <x:v>P0</x:v>
      </x:c>
      <x:c r="F21" s="14" t="str">
        <x:v>IMPLEMENTAR</x:v>
      </x:c>
    </x:row>
    <x:row r="22">
      <x:c r="A22" s="14" t="str">
        <x:v>Fontes</x:v>
      </x:c>
      <x:c r="B22" s="14" t="str">
        <x:v>next/font</x:v>
      </x:c>
      <x:c r="C22" s="14" t="str">
        <x:v>Hospedagem/otimização controlada; manter identidade atual.</x:v>
      </x:c>
      <x:c r="D22" s="14" t="str">
        <x:v>Sem bloqueio externo desnecessário</x:v>
      </x:c>
      <x:c r="E22" s="14" t="str">
        <x:v>P1</x:v>
      </x:c>
      <x:c r="F22" s="14" t="str">
        <x:v>IMPLEMENTAR</x:v>
      </x:c>
    </x:row>
    <x:row r="23">
      <x:c r="A23" s="14" t="str">
        <x:v>Blog</x:v>
      </x:c>
      <x:c r="B23" s="14" t="str">
        <x:v>Indexação</x:v>
      </x:c>
      <x:c r="C23" s="14" t="str">
        <x:v>Artigos bons index; categorias noindex até massa crítica.</x:v>
      </x:c>
      <x:c r="D23" s="14" t="str">
        <x:v>Nada de thin content indexado</x:v>
      </x:c>
      <x:c r="E23" s="14" t="str">
        <x:v>P1</x:v>
      </x:c>
      <x:c r="F23" s="14" t="str">
        <x:v>IMPLEMENTAR</x:v>
      </x:c>
    </x:row>
    <x:row r="24">
      <x:c r="A24" s="14" t="str">
        <x:v>Ads</x:v>
      </x:c>
      <x:c r="B24" s="14" t="str">
        <x:v>Destination</x:v>
      </x:c>
      <x:c r="C24" s="14" t="str">
        <x:v>LP de estética acessível ao AdsBot; mesma renderização para robô/usuário.</x:v>
      </x:c>
      <x:c r="D24" s="14" t="str">
        <x:v>Sem cloaking/bloqueio</x:v>
      </x:c>
      <x:c r="E24" s="14" t="str">
        <x:v>P0</x:v>
      </x:c>
      <x:c r="F24" s="14" t="str">
        <x:v>IMPLEMENTAR</x:v>
      </x:c>
    </x:row>
    <x:row r="25">
      <x:c r="A25" s="14" t="str">
        <x:v>Analytics</x:v>
      </x:c>
      <x:c r="B25" s="14" t="str">
        <x:v>GA4/GTM</x:v>
      </x:c>
      <x:c r="C25" s="14" t="str">
        <x:v>Eventos da aba 12 e consentimento conforme implementação.</x:v>
      </x:c>
      <x:c r="D25" s="14" t="str">
        <x:v>DebugView/Tag Assistant validados</x:v>
      </x:c>
      <x:c r="E25" s="14" t="str">
        <x:v>P0</x:v>
      </x:c>
      <x:c r="F25" s="14" t="str">
        <x:v>IMPLEMENTAR</x:v>
      </x:c>
    </x:row>
    <x:row r="26">
      <x:c r="A26" s="14" t="str">
        <x:v>Search Console</x:v>
      </x:c>
      <x:c r="B26" s="14" t="str">
        <x:v>Launch</x:v>
      </x:c>
      <x:c r="C26" s="14" t="str">
        <x:v>Validar propriedade, enviar sitemap e inspecionar P0.</x:v>
      </x:c>
      <x:c r="D26" s="14" t="str">
        <x:v>Baseline pré e pós-launch salvo</x:v>
      </x:c>
      <x:c r="E26" s="14" t="str">
        <x:v>P0</x:v>
      </x:c>
      <x:c r="F26" s="14" t="str">
        <x:v>PENDENTE ACESSO</x:v>
      </x:c>
    </x:row>
    <x:row r="27">
      <x:c r="A27" s="14" t="str">
        <x:v>QA</x:v>
      </x:c>
      <x:c r="B27" s="14" t="str">
        <x:v>Crawl final</x:v>
      </x:c>
      <x:c r="C27" s="14" t="str">
        <x:v>Crawl 200/3xx/4xx, titles, canonicals, noindex, links, imagens.</x:v>
      </x:c>
      <x:c r="D27" s="14" t="str">
        <x:v>Sem erros críticos antes de DNS/deploy</x:v>
      </x:c>
      <x:c r="E27" s="14" t="str">
        <x:v>P0</x:v>
      </x:c>
      <x:c r="F27" s="14" t="str">
        <x:v>PLANEJAR QA</x:v>
      </x:c>
    </x:row>
  </x:sheetData>
  <x:pageMargins left="0.7" right="0.7" top="0.75" bottom="0.75" header="0.3" footer="0.3"/>
  <x:tableParts count="1">
    <x:tablePart xmlns:r="http://schemas.openxmlformats.org/officeDocument/2006/relationships" r:id="Rd2b1cad824254a6f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70" hidden="0" customWidth="1"/>
    <x:col min="4" max="4" width="64" hidden="0" customWidth="1"/>
    <x:col min="5" max="5" width="38" hidden="0" customWidth="1"/>
    <x:col min="6" max="6" width="58" hidden="0" customWidth="1"/>
    <x:col min="7" max="7" width="20" hidden="0" customWidth="1"/>
    <x:col min="8" max="8" width="52" hidden="0" customWidth="1"/>
  </x:cols>
  <x:sheetData>
    <x:row r="1" ht="36" customHeight="1">
      <x:c r="A1" s="6" t="str">
        <x:v>Schema / objeto</x:v>
      </x:c>
      <x:c r="B1" s="6" t="str">
        <x:v>Papel</x:v>
      </x:c>
      <x:c r="C1" s="6" t="str">
        <x:v>Campos obrigatórios</x:v>
      </x:c>
      <x:c r="D1" s="6" t="str">
        <x:v>Blocos/arrays</x:v>
      </x:c>
      <x:c r="E1" s="6" t="str">
        <x:v>Relações</x:v>
      </x:c>
      <x:c r="F1" s="6" t="str">
        <x:v>Regra SEO</x:v>
      </x:c>
      <x:c r="G1" s="6" t="str">
        <x:v>Editável pela Sara?</x:v>
      </x:c>
      <x:c r="H1" s="6" t="str">
        <x:v>Implementação</x:v>
      </x:c>
    </x:row>
    <x:row r="2">
      <x:c r="A2" s="14" t="str">
        <x:v>treatment</x:v>
      </x:c>
      <x:c r="B2" s="14" t="str">
        <x:v>Fonte das páginas de tratamento</x:v>
      </x:c>
      <x:c r="C2" s="14" t="str">
        <x:v>title; slug; shortDescription; hero; specialty; clinicalLead; seo; publishStatus</x:v>
      </x:c>
      <x:c r="D2" s="14" t="str">
        <x:v>contentSections[]; faq[]; relatedTreatments[]; aftercare; gallery</x:v>
      </x:c>
      <x:c r="E2" s="14" t="str">
        <x:v>professional; specialty; article; mediaAsset</x:v>
      </x:c>
      <x:c r="F2" s="14" t="str">
        <x:v>seo.title/description/canonical/index; fallback por template</x:v>
      </x:c>
      <x:c r="G2" s="14" t="str">
        <x:v>Sim</x:v>
      </x:c>
      <x:c r="H2" s="14" t="str">
        <x:v>CRIAR PRIMEIRO — base das rotas clínicas</x:v>
      </x:c>
    </x:row>
    <x:row r="3">
      <x:c r="A3" s="14" t="str">
        <x:v>contentSections[]</x:v>
      </x:c>
      <x:c r="B3" s="14" t="str">
        <x:v>Sistema modular de conteúdo</x:v>
      </x:c>
      <x:c r="C3" s="14" t="str">
        <x:v>type; heading opcional; anchor opcional; content</x:v>
      </x:c>
      <x:c r="D3" s="14" t="str">
        <x:v>richText; image; imageText; steps; cards; comparison; clinicalCase; quote; cta; related; localBlock</x:v>
      </x:c>
      <x:c r="E3" s="14" t="str">
        <x:v>mediaAsset; treatment; professional</x:v>
      </x:c>
      <x:c r="F3" s="14" t="str">
        <x:v>Heading semântico configurável sem deixar editor quebrar hierarquia</x:v>
      </x:c>
      <x:c r="G3" s="14" t="str">
        <x:v>Sim</x:v>
      </x:c>
      <x:c r="H3" s="14" t="str">
        <x:v>Substitui schema rígido de H2 fixos; necessário pelo DOCX da Sara.</x:v>
      </x:c>
    </x:row>
    <x:row r="4">
      <x:c r="A4" s="14" t="str">
        <x:v>specialty</x:v>
      </x:c>
      <x:c r="B4" s="14" t="str">
        <x:v>Macroáreas clínicas</x:v>
      </x:c>
      <x:c r="C4" s="14" t="str">
        <x:v>name; slug; description; order; seo</x:v>
      </x:c>
      <x:c r="D4" s="14" t="str">
        <x:v>featuredTreatments[]</x:v>
      </x:c>
      <x:c r="E4" s="14" t="str">
        <x:v>treatment; professional</x:v>
      </x:c>
      <x:c r="F4" s="14" t="str">
        <x:v>Indexar apenas hubs reais</x:v>
      </x:c>
      <x:c r="G4" s="14" t="str">
        <x:v>Sim</x:v>
      </x:c>
      <x:c r="H4" s="14" t="str">
        <x:v>Odontologia, Estética Orofacial, Ortodontia etc.</x:v>
      </x:c>
    </x:row>
    <x:row r="5">
      <x:c r="A5" s="14" t="str">
        <x:v>professional</x:v>
      </x:c>
      <x:c r="B5" s="14" t="str">
        <x:v>Perfis da equipe</x:v>
      </x:c>
      <x:c r="C5" s="14" t="str">
        <x:v>name; slug; portrait; CRO; bio; credentials; specialties; seo</x:v>
      </x:c>
      <x:c r="D5" s="14" t="str">
        <x:v>education[]; certifications[]; relatedTreatments[]; reviewedArticles[]</x:v>
      </x:c>
      <x:c r="E5" s="14" t="str">
        <x:v>treatment; article</x:v>
      </x:c>
      <x:c r="F5" s="14" t="str">
        <x:v>Person schema apenas com dados confirmados</x:v>
      </x:c>
      <x:c r="G5" s="14" t="str">
        <x:v>Sim</x:v>
      </x:c>
      <x:c r="H5" s="14" t="str">
        <x:v>Fundamental para E-E-A-T.</x:v>
      </x:c>
    </x:row>
    <x:row r="6">
      <x:c r="A6" s="14" t="str">
        <x:v>article</x:v>
      </x:c>
      <x:c r="B6" s="14" t="str">
        <x:v>Blog / conteúdo</x:v>
      </x:c>
      <x:c r="C6" s="14" t="str">
        <x:v>title; slug; excerpt; body/contentSections; author; reviewer; publishedAt; updatedAt; seo</x:v>
      </x:c>
      <x:c r="D6" s="14" t="str">
        <x:v>references[]; faq[]; relatedTreatments[]; category[]</x:v>
      </x:c>
      <x:c r="E6" s="14" t="str">
        <x:v>professional; treatment; category</x:v>
      </x:c>
      <x:c r="F6" s="14" t="str">
        <x:v>Manter slug histórico quando necessário; canonical explícito</x:v>
      </x:c>
      <x:c r="G6" s="14" t="str">
        <x:v>Sim</x:v>
      </x:c>
      <x:c r="H6" s="14" t="str">
        <x:v>Template de artigo.</x:v>
      </x:c>
    </x:row>
    <x:row r="7">
      <x:c r="A7" s="14" t="str">
        <x:v>category</x:v>
      </x:c>
      <x:c r="B7" s="14" t="str">
        <x:v>Cluster editorial</x:v>
      </x:c>
      <x:c r="C7" s="14" t="str">
        <x:v>name; slug; description</x:v>
      </x:c>
      <x:c r="D7" s="14" t="str">
        <x:v>articles[]</x:v>
      </x:c>
      <x:c r="E7" s="14" t="str">
        <x:v>article</x:v>
      </x:c>
      <x:c r="F7" s="14" t="str">
        <x:v>noindex por padrão até ter massa crítica</x:v>
      </x:c>
      <x:c r="G7" s="14" t="str">
        <x:v>Sim</x:v>
      </x:c>
      <x:c r="H7" s="14" t="str">
        <x:v>Não gerar thin category pages.</x:v>
      </x:c>
    </x:row>
    <x:row r="8">
      <x:c r="A8" s="14" t="str">
        <x:v>faq</x:v>
      </x:c>
      <x:c r="B8" s="14" t="str">
        <x:v>Pergunta reutilizável</x:v>
      </x:c>
      <x:c r="C8" s="14" t="str">
        <x:v>question; answer; scope</x:v>
      </x:c>
      <x:c r="D8" s="14" t="str">
        <x:v>—</x:v>
      </x:c>
      <x:c r="E8" s="14" t="str">
        <x:v>treatment; article</x:v>
      </x:c>
      <x:c r="F8" s="14" t="str">
        <x:v>Não criar FAQ schema automaticamente onde não houver suporte/benefício; conteúdo visível primeiro</x:v>
      </x:c>
      <x:c r="G8" s="14" t="str">
        <x:v>Sim</x:v>
      </x:c>
      <x:c r="H8" s="14" t="str">
        <x:v>Reutilizar sem duplicar texto.</x:v>
      </x:c>
    </x:row>
    <x:row r="9">
      <x:c r="A9" s="14" t="str">
        <x:v>landingPage</x:v>
      </x:c>
      <x:c r="B9" s="14" t="str">
        <x:v>Landing de mídia</x:v>
      </x:c>
      <x:c r="C9" s="14" t="str">
        <x:v>title; slug; hero; contentSections; form/cta; seo</x:v>
      </x:c>
      <x:c r="D9" s="14" t="str">
        <x:v>contentSections[]</x:v>
      </x:c>
      <x:c r="E9" s="14" t="str">
        <x:v>siteSettings; professional</x:v>
      </x:c>
      <x:c r="F9" s="14" t="str">
        <x:v>index=false por padrão; AdsBot continua rastreável</x:v>
      </x:c>
      <x:c r="G9" s="14" t="str">
        <x:v>Sim</x:v>
      </x:c>
      <x:c r="H9" s="14" t="str">
        <x:v>Usado por /avaliacao-estetica-facial.</x:v>
      </x:c>
    </x:row>
    <x:row r="10">
      <x:c r="A10" s="14" t="str">
        <x:v>siteSettings</x:v>
      </x:c>
      <x:c r="B10" s="14" t="str">
        <x:v>Dados globais / NAP</x:v>
      </x:c>
      <x:c r="C10" s="14" t="str">
        <x:v>clinicName; phones; whatsapp; email; address; geo; openingHours; socialLinks</x:v>
      </x:c>
      <x:c r="D10" s="14" t="str">
        <x:v>footerLinks; defaultSeo; trackingIds</x:v>
      </x:c>
      <x:c r="E10" s="14" t="str">
        <x:v>site</x:v>
      </x:c>
      <x:c r="F10" s="14" t="str">
        <x:v>Uma única fonte para NAP/schema/footer</x:v>
      </x:c>
      <x:c r="G10" s="14" t="str">
        <x:v>Sim</x:v>
      </x:c>
      <x:c r="H10" s="14" t="str">
        <x:v>Evita inconsistência local.</x:v>
      </x:c>
    </x:row>
    <x:row r="11">
      <x:c r="A11" s="14" t="str">
        <x:v>seo</x:v>
      </x:c>
      <x:c r="B11" s="14" t="str">
        <x:v>Objeto SEO reutilizável</x:v>
      </x:c>
      <x:c r="C11" s="14" t="str">
        <x:v>title; description; index; canonical; ogImage</x:v>
      </x:c>
      <x:c r="D11" s="14" t="str">
        <x:v>keywordsNotes opcional; localTarget opcional</x:v>
      </x:c>
      <x:c r="E11" s="14" t="str">
        <x:v>mediaAsset</x:v>
      </x:c>
      <x:c r="F11" s="14" t="str">
        <x:v>Não expor 'keywords meta'; campos são editoriais/controle</x:v>
      </x:c>
      <x:c r="G11" s="14" t="str">
        <x:v>Sim</x:v>
      </x:c>
      <x:c r="H11" s="14" t="str">
        <x:v>Fallback por documento/tipo.</x:v>
      </x:c>
    </x:row>
    <x:row r="12">
      <x:c r="A12" s="14" t="str">
        <x:v>mediaAsset</x:v>
      </x:c>
      <x:c r="B12" s="14" t="str">
        <x:v>Biblioteca de ativos</x:v>
      </x:c>
      <x:c r="C12" s="14" t="str">
        <x:v>asset; alt; caption; sourceType; license; credit</x:v>
      </x:c>
      <x:c r="D12" s="14" t="str">
        <x:v>usageNotes</x:v>
      </x:c>
      <x:c r="E12" s="14" t="str">
        <x:v>treatment; article; page</x:v>
      </x:c>
      <x:c r="F12" s="14" t="str">
        <x:v>Alt descreve imagem; não stuffing</x:v>
      </x:c>
      <x:c r="G12" s="14" t="str">
        <x:v>Sim</x:v>
      </x:c>
      <x:c r="H12" s="14" t="str">
        <x:v>Registrar licença de banco.</x:v>
      </x:c>
    </x:row>
    <x:row r="13">
      <x:c r="A13" s="14" t="str">
        <x:v>testimonial</x:v>
      </x:c>
      <x:c r="B13" s="14" t="str">
        <x:v>Depoimentos</x:v>
      </x:c>
      <x:c r="C13" s="14" t="str">
        <x:v>personName; text; source; authorization; date</x:v>
      </x:c>
      <x:c r="D13" s="14" t="str">
        <x:v>—</x:v>
      </x:c>
      <x:c r="E13" s="14" t="str">
        <x:v>treatment/page</x:v>
      </x:c>
      <x:c r="F13" s="14" t="str">
        <x:v>Sem schema de review autoatribuído para forçar estrelas</x:v>
      </x:c>
      <x:c r="G13" s="14" t="str">
        <x:v>Sim</x:v>
      </x:c>
      <x:c r="H13" s="14" t="str">
        <x:v>Usar somente com autorização.</x:v>
      </x:c>
    </x:row>
    <x:row r="14">
      <x:c r="A14" s="14" t="str">
        <x:v>page</x:v>
      </x:c>
      <x:c r="B14" s="14" t="str">
        <x:v>Institucionais/hubs</x:v>
      </x:c>
      <x:c r="C14" s="14" t="str">
        <x:v>title; slug; hero; contentSections; seo</x:v>
      </x:c>
      <x:c r="D14" s="14" t="str">
        <x:v>contentSections[]</x:v>
      </x:c>
      <x:c r="E14" s="14" t="str">
        <x:v>treatment; professional</x:v>
      </x:c>
      <x:c r="F14" s="14" t="str">
        <x:v>Index configurável</x:v>
      </x:c>
      <x:c r="G14" s="14" t="str">
        <x:v>Sim</x:v>
      </x:c>
      <x:c r="H14" s="14" t="str">
        <x:v>Home/Clínica/Odontologia/Estética etc.</x:v>
      </x:c>
    </x:row>
    <x:row r="15">
      <x:c r="A15" s="14" t="str">
        <x:v>redirect</x:v>
      </x:c>
      <x:c r="B15" s="14" t="str">
        <x:v>Mapa editorial de redirects</x:v>
      </x:c>
      <x:c r="C15" s="14" t="str">
        <x:v>from; to; statusCode; active</x:v>
      </x:c>
      <x:c r="D15" s="14" t="str">
        <x:v>—</x:v>
      </x:c>
      <x:c r="E15" s="14" t="str">
        <x:v>—</x:v>
      </x:c>
      <x:c r="F15" s="14" t="str">
        <x:v>Não permitir chains na publicação</x:v>
      </x:c>
      <x:c r="G15" s="14" t="str">
        <x:v>EverGreen</x:v>
      </x:c>
      <x:c r="H15" s="14" t="str">
        <x:v>Pode ficar em código/config ou Sanity; escolher 1 fonte.</x:v>
      </x:c>
    </x:row>
  </x:sheetData>
  <x:pageMargins left="0.7" right="0.7" top="0.75" bottom="0.75" header="0.3" footer="0.3"/>
  <x:tableParts count="1">
    <x:tablePart xmlns:r="http://schemas.openxmlformats.org/officeDocument/2006/relationships" r:id="R7cda5baaa6f34dd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4" hidden="0" customWidth="1"/>
    <x:col min="4" max="4" width="62" hidden="0" customWidth="1"/>
    <x:col min="5" max="5" width="18" hidden="0" customWidth="1"/>
    <x:col min="6" max="6" width="26" hidden="0" customWidth="1"/>
    <x:col min="7" max="7" width="52" hidden="0" customWidth="1"/>
    <x:col min="8" max="8" width="22" hidden="0" customWidth="1"/>
  </x:cols>
  <x:sheetData>
    <x:row r="1" ht="36" customHeight="1">
      <x:c r="A1" s="6" t="str">
        <x:v>Tipo</x:v>
      </x:c>
      <x:c r="B1" s="6" t="str">
        <x:v>Página/escopo</x:v>
      </x:c>
      <x:c r="C1" s="6" t="str">
        <x:v>Elemento / asset</x:v>
      </x:c>
      <x:c r="D1" s="6" t="str">
        <x:v>Direção V4</x:v>
      </x:c>
      <x:c r="E1" s="6" t="str">
        <x:v>Quantidade</x:v>
      </x:c>
      <x:c r="F1" s="6" t="str">
        <x:v>Origem</x:v>
      </x:c>
      <x:c r="G1" s="6" t="str">
        <x:v>Requisito performance/SEO</x:v>
      </x:c>
      <x:c r="H1" s="6" t="str">
        <x:v>Status</x:v>
      </x:c>
    </x:row>
    <x:row r="2">
      <x:c r="A2" s="14" t="str">
        <x:v>Design token</x:v>
      </x:c>
      <x:c r="B2" s="14" t="str">
        <x:v>Global</x:v>
      </x:c>
      <x:c r="C2" s="14" t="str">
        <x:v>Cor primária</x:v>
      </x:c>
      <x:c r="D2" s="14" t="str">
        <x:v>Manter roxo/vinho profundo do site atual (#3F2738 / família atual)</x:v>
      </x:c>
      <x:c r="E2" s="14" t="str">
        <x:v>—</x:v>
      </x:c>
      <x:c r="F2" s="14" t="str">
        <x:v>Site atual</x:v>
      </x:c>
      <x:c r="G2" s="14" t="str">
        <x:v>Usar como base, não rebranding</x:v>
      </x:c>
      <x:c r="H2" s="14" t="str">
        <x:v>FECHADO</x:v>
      </x:c>
    </x:row>
    <x:row r="3">
      <x:c r="A3" s="14" t="str">
        <x:v>Design token</x:v>
      </x:c>
      <x:c r="B3" s="14" t="str">
        <x:v>Global</x:v>
      </x:c>
      <x:c r="C3" s="14" t="str">
        <x:v>Cor secundária</x:v>
      </x:c>
      <x:c r="D3" s="14" t="str">
        <x:v>Malva #69425D + rosa muito claro #FFF6FC / superfícies</x:v>
      </x:c>
      <x:c r="E3" s="14" t="str">
        <x:v>—</x:v>
      </x:c>
      <x:c r="F3" s="14" t="str">
        <x:v>Site atual</x:v>
      </x:c>
      <x:c r="G3" s="14" t="str">
        <x:v>Contraste WCAG em texto/CTA</x:v>
      </x:c>
      <x:c r="H3" s="14" t="str">
        <x:v>FECHADO</x:v>
      </x:c>
    </x:row>
    <x:row r="4">
      <x:c r="A4" s="14" t="str">
        <x:v>Design token</x:v>
      </x:c>
      <x:c r="B4" s="14" t="str">
        <x:v>Global</x:v>
      </x:c>
      <x:c r="C4" s="14" t="str">
        <x:v>Tipografia de títulos</x:v>
      </x:c>
      <x:c r="D4" s="14" t="str">
        <x:v>Preservar linguagem editorial elegante; Tenor Sans ou equivalente já usado</x:v>
      </x:c>
      <x:c r="E4" s="14" t="str">
        <x:v>—</x:v>
      </x:c>
      <x:c r="F4" s="14" t="str">
        <x:v>Site atual</x:v>
      </x:c>
      <x:c r="G4" s="14" t="str">
        <x:v>Carregar via next/font / self-host compatível</x:v>
      </x:c>
      <x:c r="H4" s="14" t="str">
        <x:v>FECHADO</x:v>
      </x:c>
    </x:row>
    <x:row r="5">
      <x:c r="A5" s="14" t="str">
        <x:v>Design token</x:v>
      </x:c>
      <x:c r="B5" s="14" t="str">
        <x:v>Global</x:v>
      </x:c>
      <x:c r="C5" s="14" t="str">
        <x:v>Tipografia corpo</x:v>
      </x:c>
      <x:c r="D5" s="14" t="str">
        <x:v>Sans de alta legibilidade para textos clínicos longos</x:v>
      </x:c>
      <x:c r="E5" s="14" t="str">
        <x:v>—</x:v>
      </x:c>
      <x:c r="F5" s="14" t="str">
        <x:v>Sistema</x:v>
      </x:c>
      <x:c r="G5" s="14" t="str">
        <x:v>Boa legibilidade mobile; evitar peso excessivo</x:v>
      </x:c>
      <x:c r="H5" s="14" t="str">
        <x:v>DEFINIR NO UI</x:v>
      </x:c>
    </x:row>
    <x:row r="6">
      <x:c r="A6" s="14" t="str">
        <x:v>Design principle</x:v>
      </x:c>
      <x:c r="B6" s="14" t="str">
        <x:v>Global</x:v>
      </x:c>
      <x:c r="C6" s="14" t="str">
        <x:v>Estilo</x:v>
      </x:c>
      <x:c r="D6" s="14" t="str">
        <x:v>Editorial médico premium: muito espaço, fotografia grande, linhas finas, pouca sombra, sem template azul-clínica</x:v>
      </x:c>
      <x:c r="E6" s="14" t="str">
        <x:v>—</x:v>
      </x:c>
      <x:c r="F6" s="14" t="str">
        <x:v>Matriz</x:v>
      </x:c>
      <x:c r="G6" s="14" t="str">
        <x:v>Componentes leves</x:v>
      </x:c>
      <x:c r="H6" s="14" t="str">
        <x:v>FECHADO</x:v>
      </x:c>
    </x:row>
    <x:row r="7">
      <x:c r="A7" s="14" t="str">
        <x:v>Design principle</x:v>
      </x:c>
      <x:c r="B7" s="14" t="str">
        <x:v>Global</x:v>
      </x:c>
      <x:c r="C7" s="14" t="str">
        <x:v>Movimento</x:v>
      </x:c>
      <x:c r="D7" s="14" t="str">
        <x:v>Microinterações discretas; sem animações pesadas em scroll</x:v>
      </x:c>
      <x:c r="E7" s="14" t="str">
        <x:v>—</x:v>
      </x:c>
      <x:c r="F7" s="14" t="str">
        <x:v>Sistema</x:v>
      </x:c>
      <x:c r="G7" s="14" t="str">
        <x:v>Preservar INP/LCP</x:v>
      </x:c>
      <x:c r="H7" s="14" t="str">
        <x:v>FECHADO</x:v>
      </x:c>
    </x:row>
    <x:row r="8">
      <x:c r="A8" s="14" t="str">
        <x:v>Asset</x:v>
      </x:c>
      <x:c r="B8" s="14" t="str">
        <x:v>Global</x:v>
      </x:c>
      <x:c r="C8" s="14" t="str">
        <x:v>Logo + favicon</x:v>
      </x:c>
      <x:c r="D8" s="14" t="str">
        <x:v>Versões SVG/PNG/WebP, fundo claro/escuro</x:v>
      </x:c>
      <x:c r="E8" s="14" t="str">
        <x:v>1 kit</x:v>
      </x:c>
      <x:c r="F8" s="14" t="str">
        <x:v>Sara/site atual</x:v>
      </x:c>
      <x:c r="G8" s="14" t="str">
        <x:v>SVG preferencial; metadata completa</x:v>
      </x:c>
      <x:c r="H8" s="14" t="str">
        <x:v>SOLICITAR ORIGINAL</x:v>
      </x:c>
    </x:row>
    <x:row r="9">
      <x:c r="A9" s="14" t="str">
        <x:v>Asset</x:v>
      </x:c>
      <x:c r="B9" s="14" t="str">
        <x:v>Home</x:v>
      </x:c>
      <x:c r="C9" s="14" t="str">
        <x:v>Hero Dra. Sara / clínica</x:v>
      </x:c>
      <x:c r="D9" s="14" t="str">
        <x:v>Imagem própria forte e natural</x:v>
      </x:c>
      <x:c r="E9" s="14" t="str">
        <x:v>1 principal + 2 apoio</x:v>
      </x:c>
      <x:c r="F9" s="14" t="str">
        <x:v>Própria</x:v>
      </x:c>
      <x:c r="G9" s="14" t="str">
        <x:v>AVIF/WebP; hero responsivo; alt factual</x:v>
      </x:c>
      <x:c r="H9" s="14" t="str">
        <x:v>SELECIONAR</x:v>
      </x:c>
    </x:row>
    <x:row r="10">
      <x:c r="A10" s="14" t="str">
        <x:v>Asset</x:v>
      </x:c>
      <x:c r="B10" s="14" t="str">
        <x:v>Clínica</x:v>
      </x:c>
      <x:c r="C10" s="14" t="str">
        <x:v>Galeria real</x:v>
      </x:c>
      <x:c r="D10" s="14" t="str">
        <x:v>Consultório, fachada, equipamentos, detalhes</x:v>
      </x:c>
      <x:c r="E10" s="14" t="str">
        <x:v>8–12</x:v>
      </x:c>
      <x:c r="F10" s="14" t="str">
        <x:v>Própria</x:v>
      </x:c>
      <x:c r="G10" s="14" t="str">
        <x:v>Lazy-load; dimensões fixas</x:v>
      </x:c>
      <x:c r="H10" s="14" t="str">
        <x:v>SELECIONAR</x:v>
      </x:c>
    </x:row>
    <x:row r="11">
      <x:c r="A11" s="14" t="str">
        <x:v>Asset</x:v>
      </x:c>
      <x:c r="B11" s="14" t="str">
        <x:v>Equipe</x:v>
      </x:c>
      <x:c r="C11" s="14" t="str">
        <x:v>Retratos</x:v>
      </x:c>
      <x:c r="D11" s="14" t="str">
        <x:v>Padronizar enquadramento e proporção</x:v>
      </x:c>
      <x:c r="E11" s="14" t="str">
        <x:v>1–2 por profissional</x:v>
      </x:c>
      <x:c r="F11" s="14" t="str">
        <x:v>Própria</x:v>
      </x:c>
      <x:c r="G11" s="14" t="str">
        <x:v>AVIF/WebP; alt nome + contexto</x:v>
      </x:c>
      <x:c r="H11" s="14" t="str">
        <x:v>COMPLETAR</x:v>
      </x:c>
    </x:row>
    <x:row r="12">
      <x:c r="A12" s="14" t="str">
        <x:v>Asset</x:v>
      </x:c>
      <x:c r="B12" s="14" t="str">
        <x:v>Facetas Resina</x:v>
      </x:c>
      <x:c r="C12" s="14" t="str">
        <x:v>Casos clínicos</x:v>
      </x:c>
      <x:c r="D12" s="14" t="str">
        <x:v>Antes/depois, detalhe, Sara trabalhando</x:v>
      </x:c>
      <x:c r="E12" s="14" t="str">
        <x:v>2–4</x:v>
      </x:c>
      <x:c r="F12" s="14" t="str">
        <x:v>Própria autorizada</x:v>
      </x:c>
      <x:c r="G12" s="14" t="str">
        <x:v>Otimizar; consentimento; não exagerar transformação</x:v>
      </x:c>
      <x:c r="H12" s="14" t="str">
        <x:v>SARA INDICOU</x:v>
      </x:c>
    </x:row>
    <x:row r="13">
      <x:c r="A13" s="14" t="str">
        <x:v>Asset</x:v>
      </x:c>
      <x:c r="B13" s="14" t="str">
        <x:v>Lentes/Porcelana</x:v>
      </x:c>
      <x:c r="C13" s="14" t="str">
        <x:v>Planejamento e casos</x:v>
      </x:c>
      <x:c r="D13" s="14" t="str">
        <x:v>Escaneamento, mock-up, antes/depois, processo</x:v>
      </x:c>
      <x:c r="E13" s="14" t="str">
        <x:v>3–5</x:v>
      </x:c>
      <x:c r="F13" s="14" t="str">
        <x:v>Própria</x:v>
      </x:c>
      <x:c r="G13" s="14" t="str">
        <x:v>Priorizar caso real; lazy abaixo da dobra</x:v>
      </x:c>
      <x:c r="H13" s="14" t="str">
        <x:v>SARA INDICOU</x:v>
      </x:c>
    </x:row>
    <x:row r="14">
      <x:c r="A14" s="14" t="str">
        <x:v>Asset</x:v>
      </x:c>
      <x:c r="B14" s="14" t="str">
        <x:v>Implantes</x:v>
      </x:c>
      <x:c r="C14" s="14" t="str">
        <x:v>Planejamento</x:v>
      </x:c>
      <x:c r="D14" s="14" t="str">
        <x:v>Tomografia, scanner, sequência discreta, caso/protocolo</x:v>
      </x:c>
      <x:c r="E14" s="14" t="str">
        <x:v>3–5</x:v>
      </x:c>
      <x:c r="F14" s="14" t="str">
        <x:v>Própria/licenciada</x:v>
      </x:c>
      <x:c r="G14" s="14" t="str">
        <x:v>Evitar hero gráfico/cirúrgico; alt descritivo</x:v>
      </x:c>
      <x:c r="H14" s="14" t="str">
        <x:v>SARA INDICOU</x:v>
      </x:c>
    </x:row>
    <x:row r="15">
      <x:c r="A15" s="14" t="str">
        <x:v>Asset</x:v>
      </x:c>
      <x:c r="B15" s="14" t="str">
        <x:v>Prótese Protocolo</x:v>
      </x:c>
      <x:c r="C15" s="14" t="str">
        <x:v>Caso clínico</x:v>
      </x:c>
      <x:c r="D15" s="14" t="str">
        <x:v>Antes/depois autorizado + planejamento</x:v>
      </x:c>
      <x:c r="E15" s="14" t="str">
        <x:v>2–4</x:v>
      </x:c>
      <x:c r="F15" s="14" t="str">
        <x:v>Própria</x:v>
      </x:c>
      <x:c r="G15" s="14" t="str">
        <x:v>Consentimento e compressão</x:v>
      </x:c>
      <x:c r="H15" s="14" t="str">
        <x:v>EXTRAIR DE IMPLANTES</x:v>
      </x:c>
    </x:row>
    <x:row r="16">
      <x:c r="A16" s="14" t="str">
        <x:v>Asset</x:v>
      </x:c>
      <x:c r="B16" s="14" t="str">
        <x:v>Enxerto</x:v>
      </x:c>
      <x:c r="C16" s="14" t="str">
        <x:v>Ilustração/diagnóstico</x:v>
      </x:c>
      <x:c r="D16" s="14" t="str">
        <x:v>Tomografia ou ilustração clínica discreta</x:v>
      </x:c>
      <x:c r="E16" s="14" t="str">
        <x:v>1–2</x:v>
      </x:c>
      <x:c r="F16" s="14" t="str">
        <x:v>Própria/licenciada</x:v>
      </x:c>
      <x:c r="G16" s="14" t="str">
        <x:v>Sem imagem invasiva no hero</x:v>
      </x:c>
      <x:c r="H16" s="14" t="str">
        <x:v>SARA INDICOU</x:v>
      </x:c>
    </x:row>
    <x:row r="17">
      <x:c r="A17" s="14" t="str">
        <x:v>Asset</x:v>
      </x:c>
      <x:c r="B17" s="14" t="str">
        <x:v>Periodontia</x:v>
      </x:c>
      <x:c r="C17" s="14" t="str">
        <x:v>Avaliação/casos</x:v>
      </x:c>
      <x:c r="D17" s="14" t="str">
        <x:v>Avaliação periodontal, gengiva, peri-implante</x:v>
      </x:c>
      <x:c r="E17" s="14" t="str">
        <x:v>2–4</x:v>
      </x:c>
      <x:c r="F17" s="14" t="str">
        <x:v>Própria</x:v>
      </x:c>
      <x:c r="G17" s="14" t="str">
        <x:v>Evitar imagens excessivamente clínicas em card</x:v>
      </x:c>
      <x:c r="H17" s="14" t="str">
        <x:v>SARA INDICOU</x:v>
      </x:c>
    </x:row>
    <x:row r="18">
      <x:c r="A18" s="14" t="str">
        <x:v>Asset</x:v>
      </x:c>
      <x:c r="B18" s="14" t="str">
        <x:v>Cirurgia Gengival</x:v>
      </x:c>
      <x:c r="C18" s="14" t="str">
        <x:v>Casos</x:v>
      </x:c>
      <x:c r="D18" s="14" t="str">
        <x:v>Gengivoplastia/sorriso gengival/retração autorizados</x:v>
      </x:c>
      <x:c r="E18" s="14" t="str">
        <x:v>2–4</x:v>
      </x:c>
      <x:c r="F18" s="14" t="str">
        <x:v>Própria</x:v>
      </x:c>
      <x:c r="G18" s="14" t="str">
        <x:v>Antes/depois com consentimento</x:v>
      </x:c>
      <x:c r="H18" s="14" t="str">
        <x:v>SARA INDICOU</x:v>
      </x:c>
    </x:row>
    <x:row r="19">
      <x:c r="A19" s="14" t="str">
        <x:v>Asset</x:v>
      </x:c>
      <x:c r="B19" s="14" t="str">
        <x:v>Ortodontia</x:v>
      </x:c>
      <x:c r="C19" s="14" t="str">
        <x:v>Aparelhos/planejamento</x:v>
      </x:c>
      <x:c r="D19" s="14" t="str">
        <x:v>Alinhador, autoligado, scanner, caso integrado com facetas</x:v>
      </x:c>
      <x:c r="E19" s="14" t="str">
        <x:v>3–5</x:v>
      </x:c>
      <x:c r="F19" s="14" t="str">
        <x:v>Própria/licenciada</x:v>
      </x:c>
      <x:c r="G19" s="14" t="str">
        <x:v>Marca Invisalign apenas em material permitido</x:v>
      </x:c>
      <x:c r="H19" s="14" t="str">
        <x:v>SARA INDICOU</x:v>
      </x:c>
    </x:row>
    <x:row r="20">
      <x:c r="A20" s="14" t="str">
        <x:v>Asset</x:v>
      </x:c>
      <x:c r="B20" s="14" t="str">
        <x:v>Invisalign</x:v>
      </x:c>
      <x:c r="C20" s="14" t="str">
        <x:v>Alinhadores</x:v>
      </x:c>
      <x:c r="D20" s="14" t="str">
        <x:v>Alinhador + planejamento digital + foto da Sara</x:v>
      </x:c>
      <x:c r="E20" s="14" t="str">
        <x:v>2–3</x:v>
      </x:c>
      <x:c r="F20" s="14" t="str">
        <x:v>Própria/licenciada</x:v>
      </x:c>
      <x:c r="G20" s="14" t="str">
        <x:v>Ver uso de marca/ativos oficiais</x:v>
      </x:c>
      <x:c r="H20" s="14" t="str">
        <x:v>SELECIONAR</x:v>
      </x:c>
    </x:row>
    <x:row r="21">
      <x:c r="A21" s="14" t="str">
        <x:v>Asset</x:v>
      </x:c>
      <x:c r="B21" s="14" t="str">
        <x:v>Siso</x:v>
      </x:c>
      <x:c r="C21" s="14" t="str">
        <x:v>Imagem diagnóstica</x:v>
      </x:c>
      <x:c r="D21" s="14" t="str">
        <x:v>Panorâmica/tomografia + profissional</x:v>
      </x:c>
      <x:c r="E21" s="14" t="str">
        <x:v>2–3</x:v>
      </x:c>
      <x:c r="F21" s="14" t="str">
        <x:v>Própria</x:v>
      </x:c>
      <x:c r="G21" s="14" t="str">
        <x:v>Remover dados pessoais de exame</x:v>
      </x:c>
      <x:c r="H21" s="14" t="str">
        <x:v>SARA INDICOU</x:v>
      </x:c>
    </x:row>
    <x:row r="22">
      <x:c r="A22" s="14" t="str">
        <x:v>Asset</x:v>
      </x:c>
      <x:c r="B22" s="14" t="str">
        <x:v>Bruxismo</x:v>
      </x:c>
      <x:c r="C22" s="14" t="str">
        <x:v>Sintoma + placa</x:v>
      </x:c>
      <x:c r="D22" s="14" t="str">
        <x:v>Pessoa com tensão sóbria; placa estabilizadora própria</x:v>
      </x:c>
      <x:c r="E22" s="14" t="str">
        <x:v>2</x:v>
      </x:c>
      <x:c r="F22" s="14" t="str">
        <x:v>Própria/banco</x:v>
      </x:c>
      <x:c r="G22" s="14" t="str">
        <x:v>Sem dramatização; WebP/AVIF</x:v>
      </x:c>
      <x:c r="H22" s="14" t="str">
        <x:v>SARA INDICOU</x:v>
      </x:c>
    </x:row>
    <x:row r="23">
      <x:c r="A23" s="14" t="str">
        <x:v>Asset</x:v>
      </x:c>
      <x:c r="B23" s="14" t="str">
        <x:v>Canal</x:v>
      </x:c>
      <x:c r="C23" s="14" t="str">
        <x:v>Especialista + ilustração</x:v>
      </x:c>
      <x:c r="D23" s="14" t="str">
        <x:v>Foto do atendimento + ilustração interna discreta</x:v>
      </x:c>
      <x:c r="E23" s="14" t="str">
        <x:v>2–3</x:v>
      </x:c>
      <x:c r="F23" s="14" t="str">
        <x:v>Própria/licenciada</x:v>
      </x:c>
      <x:c r="G23" s="14" t="str">
        <x:v>Não usar imagem de dor intensa</x:v>
      </x:c>
      <x:c r="H23" s="14" t="str">
        <x:v>SARA INDICOU</x:v>
      </x:c>
    </x:row>
    <x:row r="24">
      <x:c r="A24" s="14" t="str">
        <x:v>Asset</x:v>
      </x:c>
      <x:c r="B24" s="14" t="str">
        <x:v>Reabilitação</x:v>
      </x:c>
      <x:c r="C24" s="14" t="str">
        <x:v>Planejamento integrado</x:v>
      </x:c>
      <x:c r="D24" s="14" t="str">
        <x:v>Sara avaliando; scanner; planejamento digital</x:v>
      </x:c>
      <x:c r="E24" s="14" t="str">
        <x:v>2–4</x:v>
      </x:c>
      <x:c r="F24" s="14" t="str">
        <x:v>Própria</x:v>
      </x:c>
      <x:c r="G24" s="14" t="str">
        <x:v>Hero real da clínica prioritário</x:v>
      </x:c>
      <x:c r="H24" s="14" t="str">
        <x:v>SARA INDICOU</x:v>
      </x:c>
    </x:row>
    <x:row r="25">
      <x:c r="A25" s="14" t="str">
        <x:v>Asset</x:v>
      </x:c>
      <x:c r="B25" s="14" t="str">
        <x:v>Estética Orofacial</x:v>
      </x:c>
      <x:c r="C25" s="14" t="str">
        <x:v>Avaliação facial</x:v>
      </x:c>
      <x:c r="D25" s="14" t="str">
        <x:v>Dra. Sara avaliando paciente / retrato profissional</x:v>
      </x:c>
      <x:c r="E25" s="14" t="str">
        <x:v>2–4</x:v>
      </x:c>
      <x:c r="F25" s="14" t="str">
        <x:v>Própria</x:v>
      </x:c>
      <x:c r="G25" s="14" t="str">
        <x:v>Naturalidade; sem aspecto de promoção agressiva</x:v>
      </x:c>
      <x:c r="H25" s="14" t="str">
        <x:v>SARA INDICOU</x:v>
      </x:c>
    </x:row>
    <x:row r="26">
      <x:c r="A26" s="14" t="str">
        <x:v>Asset</x:v>
      </x:c>
      <x:c r="B26" s="14" t="str">
        <x:v>Preenchimentos</x:v>
      </x:c>
      <x:c r="C26" s="14" t="str">
        <x:v>Casos/consulta</x:v>
      </x:c>
      <x:c r="D26" s="14" t="str">
        <x:v>Preenchimento facial/labial autorizado</x:v>
      </x:c>
      <x:c r="E26" s="14" t="str">
        <x:v>1–3 por página</x:v>
      </x:c>
      <x:c r="F26" s="14" t="str">
        <x:v>Própria</x:v>
      </x:c>
      <x:c r="G26" s="14" t="str">
        <x:v>Consentimento; evitar imagem artificial</x:v>
      </x:c>
      <x:c r="H26" s="14" t="str">
        <x:v>SARA INDICOU</x:v>
      </x:c>
    </x:row>
    <x:row r="27">
      <x:c r="A27" s="14" t="str">
        <x:v>Asset</x:v>
      </x:c>
      <x:c r="B27" s="14" t="str">
        <x:v>Botox</x:v>
      </x:c>
      <x:c r="C27" s="14" t="str">
        <x:v>Consulta/anatomia</x:v>
      </x:c>
      <x:c r="D27" s="14" t="str">
        <x:v>Avaliação facial e imagem sóbria</x:v>
      </x:c>
      <x:c r="E27" s="14" t="str">
        <x:v>1–2</x:v>
      </x:c>
      <x:c r="F27" s="14" t="str">
        <x:v>Própria/licenciada</x:v>
      </x:c>
      <x:c r="G27" s="14" t="str">
        <x:v>SEO orgânico; não criar criativo Ads automaticamente</x:v>
      </x:c>
      <x:c r="H27" s="14" t="str">
        <x:v>SELECIONAR</x:v>
      </x:c>
    </x:row>
    <x:row r="28">
      <x:c r="A28" s="14" t="str">
        <x:v>Asset</x:v>
      </x:c>
      <x:c r="B28" s="14" t="str">
        <x:v>Bioestimuladores</x:v>
      </x:c>
      <x:c r="C28" s="14" t="str">
        <x:v>Pele/consulta</x:v>
      </x:c>
      <x:c r="D28" s="14" t="str">
        <x:v>Imagem de avaliação ou caso próprio</x:v>
      </x:c>
      <x:c r="E28" s="14" t="str">
        <x:v>1–2</x:v>
      </x:c>
      <x:c r="F28" s="14" t="str">
        <x:v>Própria/licenciada</x:v>
      </x:c>
      <x:c r="G28" s="14" t="str">
        <x:v>Evitar promessa visual de resultado</x:v>
      </x:c>
      <x:c r="H28" s="14" t="str">
        <x:v>SELECIONAR</x:v>
      </x:c>
    </x:row>
    <x:row r="29">
      <x:c r="A29" s="14" t="str">
        <x:v>Asset</x:v>
      </x:c>
      <x:c r="B29" s="14" t="str">
        <x:v>Perfiloplastia</x:v>
      </x:c>
      <x:c r="C29" s="14" t="str">
        <x:v>Perfil facial</x:v>
      </x:c>
      <x:c r="D29" s="14" t="str">
        <x:v>Caso próprio autorizado / perfil lateral</x:v>
      </x:c>
      <x:c r="E29" s="14" t="str">
        <x:v>1–2</x:v>
      </x:c>
      <x:c r="F29" s="14" t="str">
        <x:v>Própria</x:v>
      </x:c>
      <x:c r="G29" s="14" t="str">
        <x:v>Naturalidade</x:v>
      </x:c>
      <x:c r="H29" s="14" t="str">
        <x:v>SELECIONAR</x:v>
      </x:c>
    </x:row>
    <x:row r="30">
      <x:c r="A30" s="14" t="str">
        <x:v>Asset</x:v>
      </x:c>
      <x:c r="B30" s="14" t="str">
        <x:v>Blog</x:v>
      </x:c>
      <x:c r="C30" s="14" t="str">
        <x:v>Capa editorial</x:v>
      </x:c>
      <x:c r="D30" s="14" t="str">
        <x:v>Template consistente por cluster</x:v>
      </x:c>
      <x:c r="E30" s="14" t="str">
        <x:v>1/artigo</x:v>
      </x:c>
      <x:c r="F30" s="14" t="str">
        <x:v>Design + banco/própria</x:v>
      </x:c>
      <x:c r="G30" s="14" t="str">
        <x:v>1200x630 OG + versão card otimizada</x:v>
      </x:c>
      <x:c r="H30" s="14" t="str">
        <x:v>CRIAR TEMPLATE</x:v>
      </x:c>
    </x:row>
    <x:row r="31">
      <x:c r="A31" s="14" t="str">
        <x:v>Asset</x:v>
      </x:c>
      <x:c r="B31" s="14" t="str">
        <x:v>Open Graph</x:v>
      </x:c>
      <x:c r="C31" s="14" t="str">
        <x:v>OG padrão</x:v>
      </x:c>
      <x:c r="D31" s="14" t="str">
        <x:v>Institucional, odontologia e estética</x:v>
      </x:c>
      <x:c r="E31" s="14" t="str">
        <x:v>3</x:v>
      </x:c>
      <x:c r="F31" s="14" t="str">
        <x:v>Design</x:v>
      </x:c>
      <x:c r="G31" s="14" t="str">
        <x:v>1200x630</x:v>
      </x:c>
      <x:c r="H31" s="14" t="str">
        <x:v>CRIAR</x:v>
      </x:c>
    </x:row>
  </x:sheetData>
  <x:pageMargins left="0.7" right="0.7" top="0.75" bottom="0.75" header="0.3" footer="0.3"/>
  <x:tableParts count="1">
    <x:tablePart xmlns:r="http://schemas.openxmlformats.org/officeDocument/2006/relationships" r:id="Ree18c76c15614faf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4" hidden="0" customWidth="1"/>
    <x:col min="3" max="3" width="28" hidden="0" customWidth="1"/>
    <x:col min="4" max="4" width="38" hidden="0" customWidth="1"/>
    <x:col min="5" max="5" width="18" hidden="0" customWidth="1"/>
    <x:col min="6" max="6" width="26" hidden="0" customWidth="1"/>
    <x:col min="7" max="7" width="48" hidden="0" customWidth="1"/>
    <x:col min="8" max="8" width="20" hidden="0" customWidth="1"/>
  </x:cols>
  <x:sheetData>
    <x:row r="1">
      <x:c r="A1" s="38" t="str">
        <x:v>Tracking — eventos mínimos</x:v>
      </x:c>
      <x:c r="B1" s="38"/>
      <x:c r="C1" s="38"/>
      <x:c r="D1" s="38"/>
      <x:c r="E1" s="38"/>
      <x:c r="F1" s="38"/>
      <x:c r="G1" s="38"/>
      <x:c r="H1" s="38"/>
    </x:row>
    <x:row r="3" ht="36" customHeight="1">
      <x:c r="A3" s="6" t="str">
        <x:v>Evento</x:v>
      </x:c>
      <x:c r="B3" s="6" t="str">
        <x:v>Ferramenta</x:v>
      </x:c>
      <x:c r="C3" s="6" t="str">
        <x:v>Disparo</x:v>
      </x:c>
      <x:c r="D3" s="6" t="str">
        <x:v>Parâmetros</x:v>
      </x:c>
      <x:c r="E3" s="6" t="str">
        <x:v>Conversão</x:v>
      </x:c>
      <x:c r="F3" s="6" t="str">
        <x:v>Destino</x:v>
      </x:c>
      <x:c r="G3" s="6" t="str">
        <x:v>Prioridade</x:v>
      </x:c>
      <x:c r="H3" s="6" t="str">
        <x:v>Status</x:v>
      </x:c>
    </x:row>
    <x:row r="4">
      <x:c r="A4" s="14" t="str">
        <x:v>page_view</x:v>
      </x:c>
      <x:c r="B4" s="14" t="str">
        <x:v>GA4</x:v>
      </x:c>
      <x:c r="C4" s="14" t="str">
        <x:v>Toda página</x:v>
      </x:c>
      <x:c r="D4" s="14" t="str">
        <x:v>page_path; page_title; content_type</x:v>
      </x:c>
      <x:c r="E4" s="14" t="str">
        <x:v>Não</x:v>
      </x:c>
      <x:c r="F4" s="14" t="str">
        <x:v>GA4</x:v>
      </x:c>
      <x:c r="G4" s="14" t="str">
        <x:v>P0</x:v>
      </x:c>
      <x:c r="H4" s="14" t="str">
        <x:v>IMPLEMENTAR</x:v>
      </x:c>
    </x:row>
    <x:row r="5">
      <x:c r="A5" s="14" t="str">
        <x:v>whatsapp_click</x:v>
      </x:c>
      <x:c r="B5" s="14" t="str">
        <x:v>GA4/GTM</x:v>
      </x:c>
      <x:c r="C5" s="14" t="str">
        <x:v>Clique WhatsApp</x:v>
      </x:c>
      <x:c r="D5" s="14" t="str">
        <x:v>page_path; treatment; cta_location; source/medium/campaign</x:v>
      </x:c>
      <x:c r="E5" s="14" t="str">
        <x:v>Primária</x:v>
      </x:c>
      <x:c r="F5" s="14" t="str">
        <x:v>GA4 + Ads</x:v>
      </x:c>
      <x:c r="G5" s="14" t="str">
        <x:v>P0</x:v>
      </x:c>
      <x:c r="H5" s="14" t="str">
        <x:v>IMPLEMENTAR</x:v>
      </x:c>
    </x:row>
    <x:row r="6">
      <x:c r="A6" s="14" t="str">
        <x:v>phone_click</x:v>
      </x:c>
      <x:c r="B6" s="14" t="str">
        <x:v>GA4/GTM</x:v>
      </x:c>
      <x:c r="C6" s="14" t="str">
        <x:v>Clique telefone</x:v>
      </x:c>
      <x:c r="D6" s="14" t="str">
        <x:v>page_path; cta_location</x:v>
      </x:c>
      <x:c r="E6" s="14" t="str">
        <x:v>Secundária</x:v>
      </x:c>
      <x:c r="F6" s="14" t="str">
        <x:v>GA4</x:v>
      </x:c>
      <x:c r="G6" s="14" t="str">
        <x:v>P1</x:v>
      </x:c>
      <x:c r="H6" s="14" t="str">
        <x:v>IMPLEMENTAR</x:v>
      </x:c>
    </x:row>
    <x:row r="7">
      <x:c r="A7" s="14" t="str">
        <x:v>directions_click</x:v>
      </x:c>
      <x:c r="B7" s="14" t="str">
        <x:v>GA4/GTM</x:v>
      </x:c>
      <x:c r="C7" s="14" t="str">
        <x:v>Clique mapa/rota</x:v>
      </x:c>
      <x:c r="D7" s="14" t="str">
        <x:v>page_path; location</x:v>
      </x:c>
      <x:c r="E7" s="14" t="str">
        <x:v>Secundária</x:v>
      </x:c>
      <x:c r="F7" s="14" t="str">
        <x:v>GA4</x:v>
      </x:c>
      <x:c r="G7" s="14" t="str">
        <x:v>P1</x:v>
      </x:c>
      <x:c r="H7" s="14" t="str">
        <x:v>IMPLEMENTAR</x:v>
      </x:c>
    </x:row>
    <x:row r="8">
      <x:c r="A8" s="14" t="str">
        <x:v>form_start</x:v>
      </x:c>
      <x:c r="B8" s="14" t="str">
        <x:v>GA4/GTM</x:v>
      </x:c>
      <x:c r="C8" s="14" t="str">
        <x:v>Primeira interação formulário</x:v>
      </x:c>
      <x:c r="D8" s="14" t="str">
        <x:v>page_path; form_name; treatment</x:v>
      </x:c>
      <x:c r="E8" s="14" t="str">
        <x:v>Não</x:v>
      </x:c>
      <x:c r="F8" s="14" t="str">
        <x:v>GA4</x:v>
      </x:c>
      <x:c r="G8" s="14" t="str">
        <x:v>P1</x:v>
      </x:c>
      <x:c r="H8" s="14" t="str">
        <x:v>IMPLEMENTAR</x:v>
      </x:c>
    </x:row>
    <x:row r="9">
      <x:c r="A9" s="14" t="str">
        <x:v>form_submit</x:v>
      </x:c>
      <x:c r="B9" s="14" t="str">
        <x:v>GA4/GTM</x:v>
      </x:c>
      <x:c r="C9" s="14" t="str">
        <x:v>Envio válido</x:v>
      </x:c>
      <x:c r="D9" s="14" t="str">
        <x:v>page_path; form_name; treatment; campaign</x:v>
      </x:c>
      <x:c r="E9" s="14" t="str">
        <x:v>Primária</x:v>
      </x:c>
      <x:c r="F9" s="14" t="str">
        <x:v>GA4 + Ads</x:v>
      </x:c>
      <x:c r="G9" s="14" t="str">
        <x:v>P0</x:v>
      </x:c>
      <x:c r="H9" s="14" t="str">
        <x:v>IMPLEMENTAR</x:v>
      </x:c>
    </x:row>
    <x:row r="10">
      <x:c r="A10" s="14" t="str">
        <x:v>treatment_view</x:v>
      </x:c>
      <x:c r="B10" s="14" t="str">
        <x:v>GA4</x:v>
      </x:c>
      <x:c r="C10" s="14" t="str">
        <x:v>Visualização treatment</x:v>
      </x:c>
      <x:c r="D10" s="14" t="str">
        <x:v>treatment; specialty; page_path</x:v>
      </x:c>
      <x:c r="E10" s="14" t="str">
        <x:v>Micro</x:v>
      </x:c>
      <x:c r="F10" s="14" t="str">
        <x:v>GA4</x:v>
      </x:c>
      <x:c r="G10" s="14" t="str">
        <x:v>P1</x:v>
      </x:c>
      <x:c r="H10" s="14" t="str">
        <x:v>IMPLEMENTAR</x:v>
      </x:c>
    </x:row>
    <x:row r="11">
      <x:c r="A11" s="14" t="str">
        <x:v>blog_to_service_click</x:v>
      </x:c>
      <x:c r="B11" s="14" t="str">
        <x:v>GA4/GTM</x:v>
      </x:c>
      <x:c r="C11" s="14" t="str">
        <x:v>Artigo → treatment</x:v>
      </x:c>
      <x:c r="D11" s="14" t="str">
        <x:v>article_slug; treatment; cta_location</x:v>
      </x:c>
      <x:c r="E11" s="14" t="str">
        <x:v>Micro</x:v>
      </x:c>
      <x:c r="F11" s="14" t="str">
        <x:v>GA4</x:v>
      </x:c>
      <x:c r="G11" s="14" t="str">
        <x:v>P1</x:v>
      </x:c>
      <x:c r="H11" s="14" t="str">
        <x:v>IMPLEMENTAR</x:v>
      </x:c>
    </x:row>
    <x:row r="12">
      <x:c r="A12" s="14" t="str">
        <x:v>ads_landing_view</x:v>
      </x:c>
      <x:c r="B12" s="14" t="str">
        <x:v>GA4/GTM</x:v>
      </x:c>
      <x:c r="C12" s="14" t="str">
        <x:v>Entrada LP mídia</x:v>
      </x:c>
      <x:c r="D12" s="14" t="str">
        <x:v>landing; source; medium; campaign; term</x:v>
      </x:c>
      <x:c r="E12" s="14" t="str">
        <x:v>Não</x:v>
      </x:c>
      <x:c r="F12" s="14" t="str">
        <x:v>GA4 + Ads</x:v>
      </x:c>
      <x:c r="G12" s="14" t="str">
        <x:v>P0</x:v>
      </x:c>
      <x:c r="H12" s="14" t="str">
        <x:v>IMPLEMENTAR</x:v>
      </x:c>
    </x:row>
    <x:row r="13">
      <x:c r="A13" s="14" t="str">
        <x:v>appointment_cta_click</x:v>
      </x:c>
      <x:c r="B13" s="14" t="str">
        <x:v>GA4/GTM</x:v>
      </x:c>
      <x:c r="C13" s="14" t="str">
        <x:v>CTA agendar</x:v>
      </x:c>
      <x:c r="D13" s="14" t="str">
        <x:v>page_path; treatment; cta_location</x:v>
      </x:c>
      <x:c r="E13" s="14" t="str">
        <x:v>Primária</x:v>
      </x:c>
      <x:c r="F13" s="14" t="str">
        <x:v>GA4 + Ads quando aplicável</x:v>
      </x:c>
      <x:c r="G13" s="14" t="str">
        <x:v>P0</x:v>
      </x:c>
      <x:c r="H13" s="14" t="str">
        <x:v>IMPLEMENTAR</x:v>
      </x:c>
    </x:row>
    <x:row r="16">
      <x:c r="A16" s="40" t="str">
        <x:v>Pendências reais — não bloqueiam início do desenvolvimento</x:v>
      </x:c>
      <x:c r="B16" s="40"/>
      <x:c r="C16" s="40"/>
      <x:c r="D16" s="40"/>
      <x:c r="E16" s="40"/>
      <x:c r="F16" s="40"/>
      <x:c r="G16" s="40"/>
      <x:c r="H16" s="40"/>
    </x:row>
    <x:row r="18" ht="36" customHeight="1">
      <x:c r="A18" s="6" t="str">
        <x:v>Tema</x:v>
      </x:c>
      <x:c r="B18" s="6" t="str">
        <x:v>Pendência</x:v>
      </x:c>
      <x:c r="C18" s="6" t="str">
        <x:v>Responsável</x:v>
      </x:c>
      <x:c r="D18" s="6" t="str">
        <x:v>Impacto</x:v>
      </x:c>
      <x:c r="E18" s="6" t="str">
        <x:v>Bloqueia código?</x:v>
      </x:c>
      <x:c r="F18" s="6" t="str">
        <x:v>Prazo</x:v>
      </x:c>
      <x:c r="G18" s="6" t="str">
        <x:v>Decisão esperada</x:v>
      </x:c>
      <x:c r="H18" s="6" t="str">
        <x:v>Status</x:v>
      </x:c>
    </x:row>
    <x:row r="19">
      <x:c r="A19" s="14" t="str">
        <x:v>Search Console</x:v>
      </x:c>
      <x:c r="B19" s="14" t="str">
        <x:v>Obter acesso/exportar páginas, queries, cliques e impressões atuais</x:v>
      </x:c>
      <x:c r="C19" s="14" t="str">
        <x:v>Sara/EverGreen</x:v>
      </x:c>
      <x:c r="D19" s="14" t="str">
        <x:v>Baseline e redirects finais</x:v>
      </x:c>
      <x:c r="E19" s="14" t="str">
        <x:v>NÃO</x:v>
      </x:c>
      <x:c r="F19" s="14" t="str">
        <x:v>Antes do launch</x:v>
      </x:c>
      <x:c r="G19" s="14" t="str">
        <x:v>Confirmar redirects e medir migração</x:v>
      </x:c>
      <x:c r="H19" s="14" t="str">
        <x:v>ABERTO</x:v>
      </x:c>
    </x:row>
    <x:row r="20">
      <x:c r="A20" s="14" t="str">
        <x:v>Odontopediatria antiga</x:v>
      </x:c>
      <x:c r="B20" s="14" t="str">
        <x:v>Confirmar definitivamente se não será mais oferecida</x:v>
      </x:c>
      <x:c r="C20" s="14" t="str">
        <x:v>Dra. Sara</x:v>
      </x:c>
      <x:c r="D20" s="14" t="str">
        <x:v>410/redirect da página antiga</x:v>
      </x:c>
      <x:c r="E20" s="14" t="str">
        <x:v>NÃO</x:v>
      </x:c>
      <x:c r="F20" s="14" t="str">
        <x:v>Antes do launch</x:v>
      </x:c>
      <x:c r="G20" s="14" t="str">
        <x:v>Provável 410 se sem equivalente</x:v>
      </x:c>
      <x:c r="H20" s="14" t="str">
        <x:v>ABERTO</x:v>
      </x:c>
    </x:row>
    <x:row r="21">
      <x:c r="A21" s="14" t="str">
        <x:v>Credenciais</x:v>
      </x:c>
      <x:c r="B21" s="14" t="str">
        <x:v>Confirmar CRO, formação e especialidades de cada profissional</x:v>
      </x:c>
      <x:c r="C21" s="14" t="str">
        <x:v>Dra. Sara/equipe</x:v>
      </x:c>
      <x:c r="D21" s="14" t="str">
        <x:v>E-E-A-T / schema</x:v>
      </x:c>
      <x:c r="E21" s="14" t="str">
        <x:v>NÃO</x:v>
      </x:c>
      <x:c r="F21" s="14" t="str">
        <x:v>Antes de publicar perfis</x:v>
      </x:c>
      <x:c r="G21" s="14" t="str">
        <x:v>Preencher professional docs</x:v>
      </x:c>
      <x:c r="H21" s="14" t="str">
        <x:v>ABERTO</x:v>
      </x:c>
    </x:row>
    <x:row r="22">
      <x:c r="A22" s="14" t="str">
        <x:v>Responsáveis clínicos</x:v>
      </x:c>
      <x:c r="B22" s="14" t="str">
        <x:v>Fechar treatment↔professional para todos os tratamentos</x:v>
      </x:c>
      <x:c r="C22" s="14" t="str">
        <x:v>Dra. Sara</x:v>
      </x:c>
      <x:c r="D22" s="14" t="str">
        <x:v>Autoria / confiança</x:v>
      </x:c>
      <x:c r="E22" s="14" t="str">
        <x:v>NÃO</x:v>
      </x:c>
      <x:c r="F22" s="14" t="str">
        <x:v>Antes da publicação</x:v>
      </x:c>
      <x:c r="G22" s="14" t="str">
        <x:v>Relacionar no Sanity</x:v>
      </x:c>
      <x:c r="H22" s="14" t="str">
        <x:v>ABERTO</x:v>
      </x:c>
    </x:row>
    <x:row r="23">
      <x:c r="A23" s="14" t="str">
        <x:v>Conteúdo pendente</x:v>
      </x:c>
      <x:c r="B23" s="14" t="str">
        <x:v>Limpeza, Manutenção, Próteses, Clareamento, Inlays/Onlays, Diastema, Bichectomia</x:v>
      </x:c>
      <x:c r="C23" s="14" t="str">
        <x:v>Dra. Sara + EverGreen</x:v>
      </x:c>
      <x:c r="D23" s="14" t="str">
        <x:v>Publicação dessas páginas</x:v>
      </x:c>
      <x:c r="E23" s="14" t="str">
        <x:v>NÃO</x:v>
      </x:c>
      <x:c r="F23" s="14" t="str">
        <x:v>Durante desenvolvimento</x:v>
      </x:c>
      <x:c r="G23" s="14" t="str">
        <x:v>Adaptar ao mapa SEO V4</x:v>
      </x:c>
      <x:c r="H23" s="14" t="str">
        <x:v>EM ANDAMENTO</x:v>
      </x:c>
    </x:row>
    <x:row r="24">
      <x:c r="A24" s="14" t="str">
        <x:v>Imagens</x:v>
      </x:c>
      <x:c r="B24" s="14" t="str">
        <x:v>Selecionar casos próprios/autorização/licenciamento</x:v>
      </x:c>
      <x:c r="C24" s="14" t="str">
        <x:v>Sara/EverGreen</x:v>
      </x:c>
      <x:c r="D24" s="14" t="str">
        <x:v>UI e prova clínica</x:v>
      </x:c>
      <x:c r="E24" s="14" t="str">
        <x:v>NÃO</x:v>
      </x:c>
      <x:c r="F24" s="14" t="str">
        <x:v>Antes do QA visual</x:v>
      </x:c>
      <x:c r="G24" s="14" t="str">
        <x:v>Fechar asset checklist</x:v>
      </x:c>
      <x:c r="H24" s="14" t="str">
        <x:v>ABERTO</x:v>
      </x:c>
    </x:row>
    <x:row r="25">
      <x:c r="A25" s="14" t="str">
        <x:v>Google Business Profile</x:v>
      </x:c>
      <x:c r="B25" s="14" t="str">
        <x:v>Confirmar NAP, horário, categoria, site e serviços</x:v>
      </x:c>
      <x:c r="C25" s="14" t="str">
        <x:v>Sara/EverGreen</x:v>
      </x:c>
      <x:c r="D25" s="14" t="str">
        <x:v>Local SEO</x:v>
      </x:c>
      <x:c r="E25" s="14" t="str">
        <x:v>NÃO</x:v>
      </x:c>
      <x:c r="F25" s="14" t="str">
        <x:v>Antes do launch</x:v>
      </x:c>
      <x:c r="G25" s="14" t="str">
        <x:v>Sincronizar siteSettings/schema</x:v>
      </x:c>
      <x:c r="H25" s="14" t="str">
        <x:v>ABERTO</x:v>
      </x:c>
    </x:row>
    <x:row r="26">
      <x:c r="A26" s="14" t="str">
        <x:v>Google Ads estética</x:v>
      </x:c>
      <x:c r="B26" s="14" t="str">
        <x:v>Revalidar política vigente e crawling da LP no momento da campanha</x:v>
      </x:c>
      <x:c r="C26" s="14" t="str">
        <x:v>EverGreen</x:v>
      </x:c>
      <x:c r="D26" s="14" t="str">
        <x:v>Aprovação de mídia</x:v>
      </x:c>
      <x:c r="E26" s="14" t="str">
        <x:v>NÃO</x:v>
      </x:c>
      <x:c r="F26" s="14" t="str">
        <x:v>Antes de ativar Ads</x:v>
      </x:c>
      <x:c r="G26" s="14" t="str">
        <x:v>Liberar termos/destination</x:v>
      </x:c>
      <x:c r="H26" s="14" t="str">
        <x:v>ABERTO</x:v>
      </x:c>
    </x:row>
    <x:row r="27">
      <x:c r="A27" s="14" t="str">
        <x:v>Infra/DNS</x:v>
      </x:c>
      <x:c r="B27" s="14" t="str">
        <x:v>Confirmar acessos do domínio e estratégia de deploy</x:v>
      </x:c>
      <x:c r="C27" s="14" t="str">
        <x:v>Sara/EverGreen</x:v>
      </x:c>
      <x:c r="D27" s="14" t="str">
        <x:v>Go-live</x:v>
      </x:c>
      <x:c r="E27" s="14" t="str">
        <x:v>NÃO</x:v>
      </x:c>
      <x:c r="F27" s="14" t="str">
        <x:v>Antes do deploy</x:v>
      </x:c>
      <x:c r="G27" s="14" t="str">
        <x:v>Checklist de publicação</x:v>
      </x:c>
      <x:c r="H27" s="14" t="str">
        <x:v>ABERTO</x:v>
      </x:c>
    </x:row>
    <x:row r="28">
      <x:c r="A28" s="14" t="str">
        <x:v>Conteúdo editorial</x:v>
      </x:c>
      <x:c r="B28" s="14" t="str">
        <x:v>Aprovar primeira leva de artigos P0</x:v>
      </x:c>
      <x:c r="C28" s="14" t="str">
        <x:v>EverGreen/Sara</x:v>
      </x:c>
      <x:c r="D28" s="14" t="str">
        <x:v>Blog</x:v>
      </x:c>
      <x:c r="E28" s="14" t="str">
        <x:v>NÃO</x:v>
      </x:c>
      <x:c r="F28" s="14" t="str">
        <x:v>Pós-MVP ou paralelo</x:v>
      </x:c>
      <x:c r="G28" s="14" t="str">
        <x:v>Publicar gradualmente</x:v>
      </x:c>
      <x:c r="H28" s="14" t="str">
        <x:v>PLANEJAR</x:v>
      </x:c>
    </x:row>
  </x:sheetData>
  <x:mergeCells>
    <x:mergeCell ref="A1:H1"/>
    <x:mergeCell ref="A16:H16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18" hidden="0" customWidth="1"/>
    <x:col min="4" max="4" width="12" hidden="0" customWidth="1"/>
    <x:col min="5" max="5" width="16" hidden="0" customWidth="1"/>
    <x:col min="6" max="6" width="30" hidden="0" customWidth="1"/>
    <x:col min="7" max="7" width="28" hidden="0" customWidth="1"/>
    <x:col min="8" max="8" width="54" hidden="0" customWidth="1"/>
    <x:col min="9" max="9" width="28" hidden="0" customWidth="1"/>
    <x:col min="10" max="10" width="14" hidden="0" customWidth="1"/>
  </x:cols>
  <x:sheetData>
    <x:row r="1" ht="36" customHeight="1">
      <x:c r="A1" s="6" t="str">
        <x:v>Cluster</x:v>
      </x:c>
      <x:c r="B1" s="6" t="str">
        <x:v>Keyword / consulta</x:v>
      </x:c>
      <x:c r="C1" s="6" t="str">
        <x:v>Volume mensal</x:v>
      </x:c>
      <x:c r="D1" s="6" t="str">
        <x:v>KD</x:v>
      </x:c>
      <x:c r="E1" s="6" t="str">
        <x:v>Intent</x:v>
      </x:c>
      <x:c r="F1" s="6" t="str">
        <x:v>SERP / sinal</x:v>
      </x:c>
      <x:c r="G1" s="6" t="str">
        <x:v>Escopo</x:v>
      </x:c>
      <x:c r="H1" s="6" t="str">
        <x:v>Decisão aplicada na V4</x:v>
      </x:c>
      <x:c r="I1" s="6" t="str">
        <x:v>Fonte</x:v>
      </x:c>
      <x:c r="J1" s="6" t="str">
        <x:v>Data</x:v>
      </x:c>
    </x:row>
    <x:row r="2">
      <x:c r="A2" s="14" t="str">
        <x:v>Local</x:v>
      </x:c>
      <x:c r="B2" s="14" t="str">
        <x:v>dentista Florianópolis</x:v>
      </x:c>
      <x:c r="C2" s="42" t="n">
        <x:v>120</x:v>
      </x:c>
      <x:c r="D2" s="14" t="n">
        <x:v>8</x:v>
      </x:c>
      <x:c r="E2" s="14" t="str">
        <x:v>L/C</x:v>
      </x:c>
      <x:c r="F2" s="14" t="str">
        <x:v>Local Pack</x:v>
      </x:c>
      <x:c r="G2" s="14" t="str">
        <x:v>BR DB — query com cidade</x:v>
      </x:c>
      <x:c r="H2" s="14" t="str">
        <x:v>Reforçar Florianópolis no title da Home e páginas locais</x:v>
      </x:c>
      <x:c r="I2" s="14" t="str">
        <x:v>https://seranking.com/</x:v>
      </x:c>
      <x:c r="J2" s="14" t="str">
        <x:v>2026-09-06</x:v>
      </x:c>
    </x:row>
    <x:row r="3">
      <x:c r="A3" s="14" t="str">
        <x:v>Local</x:v>
      </x:c>
      <x:c r="B3" s="14" t="str">
        <x:v>clínica odontológica em Florianópolis</x:v>
      </x:c>
      <x:c r="C3" s="42" t="n">
        <x:v>260</x:v>
      </x:c>
      <x:c r="D3" s="14" t="n">
        <x:v>4</x:v>
      </x:c>
      <x:c r="E3" s="14" t="str">
        <x:v>I/N</x:v>
      </x:c>
      <x:c r="F3" s="14" t="str">
        <x:v>Local Pack</x:v>
      </x:c>
      <x:c r="G3" s="14" t="str">
        <x:v>BR DB — query com cidade</x:v>
      </x:c>
      <x:c r="H3" s="14" t="str">
        <x:v>Hub/Clínica têm oportunidade local</x:v>
      </x:c>
      <x:c r="I3" s="14" t="str">
        <x:v>https://seranking.com/</x:v>
      </x:c>
      <x:c r="J3" s="14" t="str">
        <x:v>2026-09-06</x:v>
      </x:c>
    </x:row>
    <x:row r="4">
      <x:c r="A4" s="14" t="str">
        <x:v>Local</x:v>
      </x:c>
      <x:c r="B4" s="14" t="str">
        <x:v>dentistas Florianópolis</x:v>
      </x:c>
      <x:c r="C4" s="42" t="n">
        <x:v>240</x:v>
      </x:c>
      <x:c r="D4" s="14" t="n">
        <x:v>4</x:v>
      </x:c>
      <x:c r="E4" s="14" t="str">
        <x:v>L/C</x:v>
      </x:c>
      <x:c r="F4" s="14" t="str">
        <x:v>SERP local</x:v>
      </x:c>
      <x:c r="G4" s="14" t="str">
        <x:v>BR DB — query com cidade</x:v>
      </x:c>
      <x:c r="H4" s="14" t="str">
        <x:v>Equipe + Home</x:v>
      </x:c>
      <x:c r="I4" s="14" t="str">
        <x:v>https://seranking.com/</x:v>
      </x:c>
      <x:c r="J4" s="14" t="str">
        <x:v>2026-09-06</x:v>
      </x:c>
    </x:row>
    <x:row r="5">
      <x:c r="A5" s="14" t="str">
        <x:v>Local</x:v>
      </x:c>
      <x:c r="B5" s="14" t="str">
        <x:v>odontologia Florianópolis</x:v>
      </x:c>
      <x:c r="C5" s="42" t="n">
        <x:v>210</x:v>
      </x:c>
      <x:c r="D5" s="14" t="n">
        <x:v>3</x:v>
      </x:c>
      <x:c r="E5" s="14" t="str">
        <x:v>I/N</x:v>
      </x:c>
      <x:c r="F5" s="14" t="str">
        <x:v>Local Pack</x:v>
      </x:c>
      <x:c r="G5" s="14" t="str">
        <x:v>BR DB — query com cidade</x:v>
      </x:c>
      <x:c r="H5" s="14" t="str">
        <x:v>/odontologia</x:v>
      </x:c>
      <x:c r="I5" s="14" t="str">
        <x:v>https://seranking.com/</x:v>
      </x:c>
      <x:c r="J5" s="14" t="str">
        <x:v>2026-09-06</x:v>
      </x:c>
    </x:row>
    <x:row r="6">
      <x:c r="A6" s="14" t="str">
        <x:v>Local</x:v>
      </x:c>
      <x:c r="B6" s="14" t="str">
        <x:v>ortodontista Florianópolis</x:v>
      </x:c>
      <x:c r="C6" s="42" t="n">
        <x:v>140</x:v>
      </x:c>
      <x:c r="D6" s="14" t="n">
        <x:v>7</x:v>
      </x:c>
      <x:c r="E6" s="14" t="str">
        <x:v>L/C</x:v>
      </x:c>
      <x:c r="F6" s="14" t="str">
        <x:v>Local Pack</x:v>
      </x:c>
      <x:c r="G6" s="14" t="str">
        <x:v>BR DB — query com cidade</x:v>
      </x:c>
      <x:c r="H6" s="14" t="str">
        <x:v>/ortodontia</x:v>
      </x:c>
      <x:c r="I6" s="14" t="str">
        <x:v>https://seranking.com/</x:v>
      </x:c>
      <x:c r="J6" s="14" t="str">
        <x:v>2026-09-06</x:v>
      </x:c>
    </x:row>
    <x:row r="7">
      <x:c r="A7" s="14" t="str">
        <x:v>Local</x:v>
      </x:c>
      <x:c r="B7" s="14" t="str">
        <x:v>ortodontia Florianópolis</x:v>
      </x:c>
      <x:c r="C7" s="42" t="n">
        <x:v>140</x:v>
      </x:c>
      <x:c r="D7" s="14" t="n">
        <x:v>7</x:v>
      </x:c>
      <x:c r="E7" s="14" t="str">
        <x:v>L/C</x:v>
      </x:c>
      <x:c r="F7" s="14" t="str">
        <x:v>Local Pack</x:v>
      </x:c>
      <x:c r="G7" s="14" t="str">
        <x:v>BR DB — query com cidade</x:v>
      </x:c>
      <x:c r="H7" s="14" t="str">
        <x:v>/ortodontia</x:v>
      </x:c>
      <x:c r="I7" s="14" t="str">
        <x:v>https://seranking.com/</x:v>
      </x:c>
      <x:c r="J7" s="14" t="str">
        <x:v>2026-09-06</x:v>
      </x:c>
    </x:row>
    <x:row r="8">
      <x:c r="A8" s="14" t="str">
        <x:v>Local</x:v>
      </x:c>
      <x:c r="B8" s="14" t="str">
        <x:v>implantes dentários Florianópolis</x:v>
      </x:c>
      <x:c r="C8" s="42" t="n">
        <x:v>50</x:v>
      </x:c>
      <x:c r="D8" s="14" t="n">
        <x:v>5</x:v>
      </x:c>
      <x:c r="E8" s="14" t="str">
        <x:v>—</x:v>
      </x:c>
      <x:c r="F8" s="14" t="str">
        <x:v>Consulta local</x:v>
      </x:c>
      <x:c r="G8" s="14" t="str">
        <x:v>BR DB — query com cidade</x:v>
      </x:c>
      <x:c r="H8" s="14" t="str">
        <x:v>/implantes-dentarios</x:v>
      </x:c>
      <x:c r="I8" s="14" t="str">
        <x:v>https://seranking.com/</x:v>
      </x:c>
      <x:c r="J8" s="14" t="str">
        <x:v>2026-09-06</x:v>
      </x:c>
    </x:row>
    <x:row r="9">
      <x:c r="A9" s="14" t="str">
        <x:v>Local</x:v>
      </x:c>
      <x:c r="B9" s="14" t="str">
        <x:v>invisalign Florianópolis</x:v>
      </x:c>
      <x:c r="C9" s="42" t="n">
        <x:v>40</x:v>
      </x:c>
      <x:c r="D9" s="14" t="n">
        <x:v>22</x:v>
      </x:c>
      <x:c r="E9" s="14" t="str">
        <x:v>L/C</x:v>
      </x:c>
      <x:c r="F9" s="14" t="str">
        <x:v>URL atual ranqueia ~pos.42</x:v>
      </x:c>
      <x:c r="G9" s="14" t="str">
        <x:v>Domínio + BR DB</x:v>
      </x:c>
      <x:c r="H9" s="14" t="str">
        <x:v>Preservar /invisalign</x:v>
      </x:c>
      <x:c r="I9" s="14" t="str">
        <x:v>https://seranking.com/</x:v>
      </x:c>
      <x:c r="J9" s="14" t="str">
        <x:v>2026-09-06</x:v>
      </x:c>
    </x:row>
    <x:row r="10">
      <x:c r="A10" s="14" t="str">
        <x:v>Local</x:v>
      </x:c>
      <x:c r="B10" s="14" t="str">
        <x:v>lente de contato dental Florianópolis</x:v>
      </x:c>
      <x:c r="C10" s="42" t="n">
        <x:v>30</x:v>
      </x:c>
      <x:c r="D10" s="14" t="n">
        <x:v>4</x:v>
      </x:c>
      <x:c r="E10" s="14" t="str">
        <x:v>L/C</x:v>
      </x:c>
      <x:c r="F10" s="14" t="str">
        <x:v>Local Pack</x:v>
      </x:c>
      <x:c r="G10" s="14" t="str">
        <x:v>BR DB — query com cidade</x:v>
      </x:c>
      <x:c r="H10" s="14" t="str">
        <x:v>Consolidar página de lentes/porcelana</x:v>
      </x:c>
      <x:c r="I10" s="14" t="str">
        <x:v>https://seranking.com/</x:v>
      </x:c>
      <x:c r="J10" s="14" t="str">
        <x:v>2026-09-06</x:v>
      </x:c>
    </x:row>
    <x:row r="11">
      <x:c r="A11" s="14" t="str">
        <x:v>Domínio atual</x:v>
      </x:c>
      <x:c r="B11" s="14" t="str">
        <x:v>técnica de Bass</x:v>
      </x:c>
      <x:c r="C11" s="42" t="n">
        <x:v>590</x:v>
      </x:c>
      <x:c r="D11" s="14" t="n">
        <x:v>8</x:v>
      </x:c>
      <x:c r="E11" s="14" t="str">
        <x:v>I</x:v>
      </x:c>
      <x:c r="F11" s="14" t="str">
        <x:v>odontoestetica.net pos.1</x:v>
      </x:c>
      <x:c r="G11" s="14" t="str">
        <x:v>Domínio atual</x:v>
      </x:c>
      <x:c r="H11" s="14" t="str">
        <x:v>Preservar /como-escovar-os-dentes</x:v>
      </x:c>
      <x:c r="I11" s="14" t="str">
        <x:v>https://seranking.com/</x:v>
      </x:c>
      <x:c r="J11" s="14" t="str">
        <x:v>2026-09-06</x:v>
      </x:c>
    </x:row>
    <x:row r="12">
      <x:c r="A12" s="14" t="str">
        <x:v>Domínio atual</x:v>
      </x:c>
      <x:c r="B12" s="14" t="str">
        <x:v>técnica de escovação Stillman</x:v>
      </x:c>
      <x:c r="C12" s="42" t="n">
        <x:v>40</x:v>
      </x:c>
      <x:c r="D12" s="14" t="n">
        <x:v>7</x:v>
      </x:c>
      <x:c r="E12" s="14" t="str">
        <x:v>I</x:v>
      </x:c>
      <x:c r="F12" s="14" t="str">
        <x:v>odontoestetica.net pos.10</x:v>
      </x:c>
      <x:c r="G12" s="14" t="str">
        <x:v>Domínio atual</x:v>
      </x:c>
      <x:c r="H12" s="14" t="str">
        <x:v>Preservar artigo histórico</x:v>
      </x:c>
      <x:c r="I12" s="14" t="str">
        <x:v>https://seranking.com/</x:v>
      </x:c>
      <x:c r="J12" s="14" t="str">
        <x:v>2026-09-06</x:v>
      </x:c>
    </x:row>
    <x:row r="13">
      <x:c r="A13" s="14" t="str">
        <x:v>Domínio atual</x:v>
      </x:c>
      <x:c r="B13" s="14" t="str">
        <x:v>dentista nos ingleses</x:v>
      </x:c>
      <x:c r="C13" s="42" t="n">
        <x:v>0</x:v>
      </x:c>
      <x:c r="D13" s="14"/>
      <x:c r="E13" s="14" t="str">
        <x:v>L/C</x:v>
      </x:c>
      <x:c r="F13" s="14" t="str">
        <x:v>Home pos.2</x:v>
      </x:c>
      <x:c r="G13" s="14" t="str">
        <x:v>Domínio atual</x:v>
      </x:c>
      <x:c r="H13" s="14" t="str">
        <x:v>Home continua URL principal para Ingleses</x:v>
      </x:c>
      <x:c r="I13" s="14" t="str">
        <x:v>https://seranking.com/</x:v>
      </x:c>
      <x:c r="J13" s="14" t="str">
        <x:v>2026-09-06</x:v>
      </x:c>
    </x:row>
    <x:row r="14">
      <x:c r="A14" s="14" t="str">
        <x:v>Domínio atual</x:v>
      </x:c>
      <x:c r="B14" s="14" t="str">
        <x:v>dentista ingleses</x:v>
      </x:c>
      <x:c r="C14" s="42" t="n">
        <x:v>0</x:v>
      </x:c>
      <x:c r="D14" s="14"/>
      <x:c r="E14" s="14" t="str">
        <x:v>L/C</x:v>
      </x:c>
      <x:c r="F14" s="14" t="str">
        <x:v>Home pos.3</x:v>
      </x:c>
      <x:c r="G14" s="14" t="str">
        <x:v>Domínio atual</x:v>
      </x:c>
      <x:c r="H14" s="14" t="str">
        <x:v>Não interpretar volume 0 como ausência de demanda local</x:v>
      </x:c>
      <x:c r="I14" s="14" t="str">
        <x:v>https://seranking.com/</x:v>
      </x:c>
      <x:c r="J14" s="14" t="str">
        <x:v>2026-09-06</x:v>
      </x:c>
    </x:row>
    <x:row r="15">
      <x:c r="A15" s="14" t="str">
        <x:v>Facetas</x:v>
      </x:c>
      <x:c r="B15" s="14" t="str">
        <x:v>faceta de resina</x:v>
      </x:c>
      <x:c r="C15" s="42" t="n">
        <x:v>47500</x:v>
      </x:c>
      <x:c r="D15" s="14" t="n">
        <x:v>59</x:v>
      </x:c>
      <x:c r="E15" s="14" t="str">
        <x:v>I</x:v>
      </x:c>
      <x:c r="F15" s="14" t="str">
        <x:v>—</x:v>
      </x:c>
      <x:c r="G15" s="14" t="str">
        <x:v>BR DB</x:v>
      </x:c>
      <x:c r="H15" s="14" t="str">
        <x:v>Keyword principal; H1 inclui variação clínica</x:v>
      </x:c>
      <x:c r="I15" s="14" t="str">
        <x:v>https://seranking.com/</x:v>
      </x:c>
      <x:c r="J15" s="14" t="str">
        <x:v>2026-09-06</x:v>
      </x:c>
    </x:row>
    <x:row r="16">
      <x:c r="A16" s="14" t="str">
        <x:v>Facetas</x:v>
      </x:c>
      <x:c r="B16" s="14" t="str">
        <x:v>facetas de resina</x:v>
      </x:c>
      <x:c r="C16" s="42" t="n">
        <x:v>27100</x:v>
      </x:c>
      <x:c r="D16" s="14" t="n">
        <x:v>59</x:v>
      </x:c>
      <x:c r="E16" s="14" t="str">
        <x:v>I</x:v>
      </x:c>
      <x:c r="F16" s="14" t="str">
        <x:v>—</x:v>
      </x:c>
      <x:c r="G16" s="14" t="str">
        <x:v>BR DB</x:v>
      </x:c>
      <x:c r="H16" s="14" t="str">
        <x:v>Variação prioritária</x:v>
      </x:c>
      <x:c r="I16" s="14" t="str">
        <x:v>https://seranking.com/</x:v>
      </x:c>
      <x:c r="J16" s="14" t="str">
        <x:v>2026-09-06</x:v>
      </x:c>
    </x:row>
    <x:row r="17">
      <x:c r="A17" s="14" t="str">
        <x:v>Facetas</x:v>
      </x:c>
      <x:c r="B17" s="14" t="str">
        <x:v>lente de resina</x:v>
      </x:c>
      <x:c r="C17" s="42" t="n">
        <x:v>12100</x:v>
      </x:c>
      <x:c r="D17" s="14" t="n">
        <x:v>71</x:v>
      </x:c>
      <x:c r="E17" s="14" t="str">
        <x:v>I</x:v>
      </x:c>
      <x:c r="F17" s="14" t="str">
        <x:v>—</x:v>
      </x:c>
      <x:c r="G17" s="14" t="str">
        <x:v>BR DB</x:v>
      </x:c>
      <x:c r="H17" s="14" t="str">
        <x:v>Incluir na semântica, não criar outra URL</x:v>
      </x:c>
      <x:c r="I17" s="14" t="str">
        <x:v>https://seranking.com/</x:v>
      </x:c>
      <x:c r="J17" s="14" t="str">
        <x:v>2026-09-06</x:v>
      </x:c>
    </x:row>
    <x:row r="18">
      <x:c r="A18" s="14" t="str">
        <x:v>Facetas</x:v>
      </x:c>
      <x:c r="B18" s="14" t="str">
        <x:v>lentes em resina</x:v>
      </x:c>
      <x:c r="C18" s="42" t="n">
        <x:v>1900</x:v>
      </x:c>
      <x:c r="D18" s="14" t="n">
        <x:v>66</x:v>
      </x:c>
      <x:c r="E18" s="14" t="str">
        <x:v>L/C</x:v>
      </x:c>
      <x:c r="F18" s="14" t="str">
        <x:v>Local Pack</x:v>
      </x:c>
      <x:c r="G18" s="14" t="str">
        <x:v>BR DB</x:v>
      </x:c>
      <x:c r="H18" s="14" t="str">
        <x:v>Valida nome 'Facetas de Resina e Lentes em Resina'</x:v>
      </x:c>
      <x:c r="I18" s="14" t="str">
        <x:v>https://seranking.com/</x:v>
      </x:c>
      <x:c r="J18" s="14" t="str">
        <x:v>2026-09-06</x:v>
      </x:c>
    </x:row>
    <x:row r="19">
      <x:c r="A19" s="14" t="str">
        <x:v>Lentes/Porcelana</x:v>
      </x:c>
      <x:c r="B19" s="14" t="str">
        <x:v>lentes de contato dental</x:v>
      </x:c>
      <x:c r="C19" s="42" t="n">
        <x:v>9900</x:v>
      </x:c>
      <x:c r="D19" s="14" t="n">
        <x:v>45</x:v>
      </x:c>
      <x:c r="E19" s="14" t="str">
        <x:v>I</x:v>
      </x:c>
      <x:c r="F19" s="14" t="str">
        <x:v>—</x:v>
      </x:c>
      <x:c r="G19" s="14" t="str">
        <x:v>BR DB</x:v>
      </x:c>
      <x:c r="H19" s="14" t="str">
        <x:v>Keyword principal da URL consolidada</x:v>
      </x:c>
      <x:c r="I19" s="14" t="str">
        <x:v>https://seranking.com/</x:v>
      </x:c>
      <x:c r="J19" s="14" t="str">
        <x:v>2026-09-06</x:v>
      </x:c>
    </x:row>
    <x:row r="20">
      <x:c r="A20" s="14" t="str">
        <x:v>Lentes/Porcelana</x:v>
      </x:c>
      <x:c r="B20" s="14" t="str">
        <x:v>faceta de porcelana</x:v>
      </x:c>
      <x:c r="C20" s="42" t="n">
        <x:v>6600</x:v>
      </x:c>
      <x:c r="D20" s="14" t="n">
        <x:v>53</x:v>
      </x:c>
      <x:c r="E20" s="14" t="str">
        <x:v>—</x:v>
      </x:c>
      <x:c r="F20" s="14" t="str">
        <x:v>—</x:v>
      </x:c>
      <x:c r="G20" s="14" t="str">
        <x:v>BR DB</x:v>
      </x:c>
      <x:c r="H20" s="14" t="str">
        <x:v>Cobrir na mesma página</x:v>
      </x:c>
      <x:c r="I20" s="14" t="str">
        <x:v>https://seranking.com/</x:v>
      </x:c>
      <x:c r="J20" s="14" t="str">
        <x:v>2026-09-06</x:v>
      </x:c>
    </x:row>
    <x:row r="21">
      <x:c r="A21" s="14" t="str">
        <x:v>Lentes/Porcelana</x:v>
      </x:c>
      <x:c r="B21" s="14" t="str">
        <x:v>facetas de porcelana</x:v>
      </x:c>
      <x:c r="C21" s="42" t="n">
        <x:v>5400</x:v>
      </x:c>
      <x:c r="D21" s="14" t="n">
        <x:v>60</x:v>
      </x:c>
      <x:c r="E21" s="14" t="str">
        <x:v>—</x:v>
      </x:c>
      <x:c r="F21" s="14" t="str">
        <x:v>—</x:v>
      </x:c>
      <x:c r="G21" s="14" t="str">
        <x:v>BR DB</x:v>
      </x:c>
      <x:c r="H21" s="14" t="str">
        <x:v>Cobrir na mesma página</x:v>
      </x:c>
      <x:c r="I21" s="14" t="str">
        <x:v>https://seranking.com/</x:v>
      </x:c>
      <x:c r="J21" s="14" t="str">
        <x:v>2026-09-06</x:v>
      </x:c>
    </x:row>
    <x:row r="22">
      <x:c r="A22" s="14" t="str">
        <x:v>Lentes/Porcelana</x:v>
      </x:c>
      <x:c r="B22" s="14" t="str">
        <x:v>lente de porcelana</x:v>
      </x:c>
      <x:c r="C22" s="42" t="n">
        <x:v>2900</x:v>
      </x:c>
      <x:c r="D22" s="14" t="n">
        <x:v>63</x:v>
      </x:c>
      <x:c r="E22" s="14" t="str">
        <x:v>I</x:v>
      </x:c>
      <x:c r="F22" s="14" t="str">
        <x:v>—</x:v>
      </x:c>
      <x:c r="G22" s="14" t="str">
        <x:v>BR DB</x:v>
      </x:c>
      <x:c r="H22" s="14" t="str">
        <x:v>Variação semântica</x:v>
      </x:c>
      <x:c r="I22" s="14" t="str">
        <x:v>https://seranking.com/</x:v>
      </x:c>
      <x:c r="J22" s="14" t="str">
        <x:v>2026-09-06</x:v>
      </x:c>
    </x:row>
    <x:row r="23">
      <x:c r="A23" s="14" t="str">
        <x:v>Implantes</x:v>
      </x:c>
      <x:c r="B23" s="14" t="str">
        <x:v>implantodontia</x:v>
      </x:c>
      <x:c r="C23" s="42" t="n">
        <x:v>5400</x:v>
      </x:c>
      <x:c r="D23" s="14" t="n">
        <x:v>63</x:v>
      </x:c>
      <x:c r="E23" s="14" t="str">
        <x:v>L/C</x:v>
      </x:c>
      <x:c r="F23" s="14" t="str">
        <x:v>Local Pack</x:v>
      </x:c>
      <x:c r="G23" s="14" t="str">
        <x:v>BR DB</x:v>
      </x:c>
      <x:c r="H23" s="14" t="str">
        <x:v>Termo técnico secundário</x:v>
      </x:c>
      <x:c r="I23" s="14" t="str">
        <x:v>https://seranking.com/</x:v>
      </x:c>
      <x:c r="J23" s="14" t="str">
        <x:v>2026-09-06</x:v>
      </x:c>
    </x:row>
    <x:row r="24">
      <x:c r="A24" s="14" t="str">
        <x:v>Implantes</x:v>
      </x:c>
      <x:c r="B24" s="14" t="str">
        <x:v>implante de dente</x:v>
      </x:c>
      <x:c r="C24" s="42" t="n">
        <x:v>4400</x:v>
      </x:c>
      <x:c r="D24" s="14" t="n">
        <x:v>73</x:v>
      </x:c>
      <x:c r="E24" s="14" t="str">
        <x:v>I</x:v>
      </x:c>
      <x:c r="F24" s="14" t="str">
        <x:v>—</x:v>
      </x:c>
      <x:c r="G24" s="14" t="str">
        <x:v>BR DB</x:v>
      </x:c>
      <x:c r="H24" s="14" t="str">
        <x:v>Linguagem de paciente em copy</x:v>
      </x:c>
      <x:c r="I24" s="14" t="str">
        <x:v>https://seranking.com/</x:v>
      </x:c>
      <x:c r="J24" s="14" t="str">
        <x:v>2026-09-06</x:v>
      </x:c>
    </x:row>
    <x:row r="25">
      <x:c r="A25" s="14" t="str">
        <x:v>Implantes</x:v>
      </x:c>
      <x:c r="B25" s="14" t="str">
        <x:v>implante dental</x:v>
      </x:c>
      <x:c r="C25" s="42" t="n">
        <x:v>1900</x:v>
      </x:c>
      <x:c r="D25" s="14" t="n">
        <x:v>82</x:v>
      </x:c>
      <x:c r="E25" s="14" t="str">
        <x:v>L/C</x:v>
      </x:c>
      <x:c r="F25" s="14" t="str">
        <x:v>Local Pack</x:v>
      </x:c>
      <x:c r="G25" s="14" t="str">
        <x:v>BR DB</x:v>
      </x:c>
      <x:c r="H25" s="14" t="str">
        <x:v>Variação comercial</x:v>
      </x:c>
      <x:c r="I25" s="14" t="str">
        <x:v>https://seranking.com/</x:v>
      </x:c>
      <x:c r="J25" s="14" t="str">
        <x:v>2026-09-06</x:v>
      </x:c>
    </x:row>
    <x:row r="26">
      <x:c r="A26" s="14" t="str">
        <x:v>Prótese Protocolo</x:v>
      </x:c>
      <x:c r="B26" s="14" t="str">
        <x:v>prótese protocolo</x:v>
      </x:c>
      <x:c r="C26" s="42" t="n">
        <x:v>14800</x:v>
      </x:c>
      <x:c r="D26" s="14" t="n">
        <x:v>41</x:v>
      </x:c>
      <x:c r="E26" s="14" t="str">
        <x:v>I</x:v>
      </x:c>
      <x:c r="F26" s="14" t="str">
        <x:v>—</x:v>
      </x:c>
      <x:c r="G26" s="14" t="str">
        <x:v>BR DB</x:v>
      </x:c>
      <x:c r="H26" s="14" t="str">
        <x:v>Volume justifica URL própria</x:v>
      </x:c>
      <x:c r="I26" s="14" t="str">
        <x:v>https://seranking.com/</x:v>
      </x:c>
      <x:c r="J26" s="14" t="str">
        <x:v>2026-09-06</x:v>
      </x:c>
    </x:row>
    <x:row r="27">
      <x:c r="A27" s="14" t="str">
        <x:v>Prótese Protocolo</x:v>
      </x:c>
      <x:c r="B27" s="14" t="str">
        <x:v>implante protocolo</x:v>
      </x:c>
      <x:c r="C27" s="42" t="n">
        <x:v>990</x:v>
      </x:c>
      <x:c r="D27" s="14" t="n">
        <x:v>6</x:v>
      </x:c>
      <x:c r="E27" s="14" t="str">
        <x:v>I</x:v>
      </x:c>
      <x:c r="F27" s="14" t="str">
        <x:v>—</x:v>
      </x:c>
      <x:c r="G27" s="14" t="str">
        <x:v>BR DB</x:v>
      </x:c>
      <x:c r="H27" s="14" t="str">
        <x:v>Variação de intenção</x:v>
      </x:c>
      <x:c r="I27" s="14" t="str">
        <x:v>https://seranking.com/</x:v>
      </x:c>
      <x:c r="J27" s="14" t="str">
        <x:v>2026-09-06</x:v>
      </x:c>
    </x:row>
    <x:row r="28">
      <x:c r="A28" s="14" t="str">
        <x:v>Prótese Protocolo</x:v>
      </x:c>
      <x:c r="B28" s="14" t="str">
        <x:v>prótese sobre implante protocolo</x:v>
      </x:c>
      <x:c r="C28" s="42" t="n">
        <x:v>480</x:v>
      </x:c>
      <x:c r="D28" s="14" t="n">
        <x:v>6</x:v>
      </x:c>
      <x:c r="E28" s="14" t="str">
        <x:v>I</x:v>
      </x:c>
      <x:c r="F28" s="14" t="str">
        <x:v>—</x:v>
      </x:c>
      <x:c r="G28" s="14" t="str">
        <x:v>BR DB</x:v>
      </x:c>
      <x:c r="H28" s="14" t="str">
        <x:v>FAQ/semântica</x:v>
      </x:c>
      <x:c r="I28" s="14" t="str">
        <x:v>https://seranking.com/</x:v>
      </x:c>
      <x:c r="J28" s="14" t="str">
        <x:v>2026-09-06</x:v>
      </x:c>
    </x:row>
    <x:row r="29">
      <x:c r="A29" s="14" t="str">
        <x:v>Enxerto</x:v>
      </x:c>
      <x:c r="B29" s="14" t="str">
        <x:v>enxerto ósseo para implantes</x:v>
      </x:c>
      <x:c r="C29" s="42" t="n">
        <x:v>590</x:v>
      </x:c>
      <x:c r="D29" s="14" t="n">
        <x:v>4</x:v>
      </x:c>
      <x:c r="E29" s="14" t="str">
        <x:v>I</x:v>
      </x:c>
      <x:c r="F29" s="14" t="str">
        <x:v>Featured/PAA</x:v>
      </x:c>
      <x:c r="G29" s="14" t="str">
        <x:v>BR DB</x:v>
      </x:c>
      <x:c r="H29" s="14" t="str">
        <x:v>Página própria</x:v>
      </x:c>
      <x:c r="I29" s="14" t="str">
        <x:v>https://seranking.com/</x:v>
      </x:c>
      <x:c r="J29" s="14" t="str">
        <x:v>2026-09-06</x:v>
      </x:c>
    </x:row>
    <x:row r="30">
      <x:c r="A30" s="14" t="str">
        <x:v>Enxerto</x:v>
      </x:c>
      <x:c r="B30" s="14" t="str">
        <x:v>enxerto ósseo dentário dói</x:v>
      </x:c>
      <x:c r="C30" s="42" t="n">
        <x:v>590</x:v>
      </x:c>
      <x:c r="D30" s="14" t="n">
        <x:v>3</x:v>
      </x:c>
      <x:c r="E30" s="14" t="str">
        <x:v>I</x:v>
      </x:c>
      <x:c r="F30" s="14" t="str">
        <x:v>PAA</x:v>
      </x:c>
      <x:c r="G30" s="14" t="str">
        <x:v>BR DB</x:v>
      </x:c>
      <x:c r="H30" s="14" t="str">
        <x:v>FAQ</x:v>
      </x:c>
      <x:c r="I30" s="14" t="str">
        <x:v>https://seranking.com/</x:v>
      </x:c>
      <x:c r="J30" s="14" t="str">
        <x:v>2026-09-06</x:v>
      </x:c>
    </x:row>
    <x:row r="31">
      <x:c r="A31" s="14" t="str">
        <x:v>Enxerto</x:v>
      </x:c>
      <x:c r="B31" s="14" t="str">
        <x:v>enxerto ósseo para implante</x:v>
      </x:c>
      <x:c r="C31" s="42" t="n">
        <x:v>480</x:v>
      </x:c>
      <x:c r="D31" s="14" t="n">
        <x:v>6</x:v>
      </x:c>
      <x:c r="E31" s="14" t="str">
        <x:v>I</x:v>
      </x:c>
      <x:c r="F31" s="14" t="str">
        <x:v>—</x:v>
      </x:c>
      <x:c r="G31" s="14" t="str">
        <x:v>BR DB</x:v>
      </x:c>
      <x:c r="H31" s="14" t="str">
        <x:v>Keyword/variação</x:v>
      </x:c>
      <x:c r="I31" s="14" t="str">
        <x:v>https://seranking.com/</x:v>
      </x:c>
      <x:c r="J31" s="14" t="str">
        <x:v>2026-09-06</x:v>
      </x:c>
    </x:row>
    <x:row r="32">
      <x:c r="A32" s="14" t="str">
        <x:v>Periodontia</x:v>
      </x:c>
      <x:c r="B32" s="14" t="str">
        <x:v>periodontia</x:v>
      </x:c>
      <x:c r="C32" s="42" t="n">
        <x:v>27100</x:v>
      </x:c>
      <x:c r="D32" s="14" t="n">
        <x:v>82</x:v>
      </x:c>
      <x:c r="E32" s="14" t="str">
        <x:v>L/C</x:v>
      </x:c>
      <x:c r="F32" s="14" t="str">
        <x:v>Local Pack</x:v>
      </x:c>
      <x:c r="G32" s="14" t="str">
        <x:v>BR DB</x:v>
      </x:c>
      <x:c r="H32" s="14" t="str">
        <x:v>Keyword técnica principal</x:v>
      </x:c>
      <x:c r="I32" s="14" t="str">
        <x:v>https://seranking.com/</x:v>
      </x:c>
      <x:c r="J32" s="14" t="str">
        <x:v>2026-09-06</x:v>
      </x:c>
    </x:row>
    <x:row r="33">
      <x:c r="A33" s="14" t="str">
        <x:v>Periodontia</x:v>
      </x:c>
      <x:c r="B33" s="14" t="str">
        <x:v>dentista especialista em gengiva</x:v>
      </x:c>
      <x:c r="C33" s="42" t="n">
        <x:v>590</x:v>
      </x:c>
      <x:c r="D33" s="14" t="n">
        <x:v>5</x:v>
      </x:c>
      <x:c r="E33" s="14" t="str">
        <x:v>L/C</x:v>
      </x:c>
      <x:c r="F33" s="14" t="str">
        <x:v>Local Pack</x:v>
      </x:c>
      <x:c r="G33" s="14" t="str">
        <x:v>BR DB</x:v>
      </x:c>
      <x:c r="H33" s="14" t="str">
        <x:v>Usar linguagem leiga</x:v>
      </x:c>
      <x:c r="I33" s="14" t="str">
        <x:v>https://seranking.com/</x:v>
      </x:c>
      <x:c r="J33" s="14" t="str">
        <x:v>2026-09-06</x:v>
      </x:c>
    </x:row>
    <x:row r="34">
      <x:c r="A34" s="14" t="str">
        <x:v>Periodontia</x:v>
      </x:c>
      <x:c r="B34" s="14" t="str">
        <x:v>dentista periodontista</x:v>
      </x:c>
      <x:c r="C34" s="42" t="n">
        <x:v>590</x:v>
      </x:c>
      <x:c r="D34" s="14" t="n">
        <x:v>3</x:v>
      </x:c>
      <x:c r="E34" s="14" t="str">
        <x:v>L/C</x:v>
      </x:c>
      <x:c r="F34" s="14" t="str">
        <x:v>Local Pack</x:v>
      </x:c>
      <x:c r="G34" s="14" t="str">
        <x:v>BR DB</x:v>
      </x:c>
      <x:c r="H34" s="14" t="str">
        <x:v>Title/body/profissional</x:v>
      </x:c>
      <x:c r="I34" s="14" t="str">
        <x:v>https://seranking.com/</x:v>
      </x:c>
      <x:c r="J34" s="14" t="str">
        <x:v>2026-09-06</x:v>
      </x:c>
    </x:row>
    <x:row r="35">
      <x:c r="A35" s="14" t="str">
        <x:v>Periodontia</x:v>
      </x:c>
      <x:c r="B35" s="14" t="str">
        <x:v>especialista em gengiva</x:v>
      </x:c>
      <x:c r="C35" s="42" t="n">
        <x:v>390</x:v>
      </x:c>
      <x:c r="D35" s="14" t="n">
        <x:v>4</x:v>
      </x:c>
      <x:c r="E35" s="14" t="str">
        <x:v>L/C</x:v>
      </x:c>
      <x:c r="F35" s="14" t="str">
        <x:v>Local Pack</x:v>
      </x:c>
      <x:c r="G35" s="14" t="str">
        <x:v>BR DB</x:v>
      </x:c>
      <x:c r="H35" s="14" t="str">
        <x:v>Semântica local/comercial</x:v>
      </x:c>
      <x:c r="I35" s="14" t="str">
        <x:v>https://seranking.com/</x:v>
      </x:c>
      <x:c r="J35" s="14" t="str">
        <x:v>2026-09-06</x:v>
      </x:c>
    </x:row>
    <x:row r="36">
      <x:c r="A36" s="14" t="str">
        <x:v>Cirurgia gengival</x:v>
      </x:c>
      <x:c r="B36" s="14" t="str">
        <x:v>gengivoplastia</x:v>
      </x:c>
      <x:c r="C36" s="42" t="n">
        <x:v>27100</x:v>
      </x:c>
      <x:c r="D36" s="14" t="n">
        <x:v>58</x:v>
      </x:c>
      <x:c r="E36" s="14" t="str">
        <x:v>I</x:v>
      </x:c>
      <x:c r="F36" s="14" t="str">
        <x:v>—</x:v>
      </x:c>
      <x:c r="G36" s="14" t="str">
        <x:v>BR DB</x:v>
      </x:c>
      <x:c r="H36" s="14" t="str">
        <x:v>H1 inclui gengivoplastia</x:v>
      </x:c>
      <x:c r="I36" s="14" t="str">
        <x:v>https://seranking.com/</x:v>
      </x:c>
      <x:c r="J36" s="14" t="str">
        <x:v>2026-09-06</x:v>
      </x:c>
    </x:row>
    <x:row r="37">
      <x:c r="A37" s="14" t="str">
        <x:v>Cirurgia gengival</x:v>
      </x:c>
      <x:c r="B37" s="14" t="str">
        <x:v>cirurgia gengiva</x:v>
      </x:c>
      <x:c r="C37" s="42" t="n">
        <x:v>1900</x:v>
      </x:c>
      <x:c r="D37" s="14" t="n">
        <x:v>52</x:v>
      </x:c>
      <x:c r="E37" s="14" t="str">
        <x:v>I</x:v>
      </x:c>
      <x:c r="F37" s="14" t="str">
        <x:v>—</x:v>
      </x:c>
      <x:c r="G37" s="14" t="str">
        <x:v>BR DB</x:v>
      </x:c>
      <x:c r="H37" s="14" t="str">
        <x:v>URL /cirurgia-gengival</x:v>
      </x:c>
      <x:c r="I37" s="14" t="str">
        <x:v>https://seranking.com/</x:v>
      </x:c>
      <x:c r="J37" s="14" t="str">
        <x:v>2026-09-06</x:v>
      </x:c>
    </x:row>
    <x:row r="38">
      <x:c r="A38" s="14" t="str">
        <x:v>Cirurgia gengival</x:v>
      </x:c>
      <x:c r="B38" s="14" t="str">
        <x:v>cirurgia sorriso gengival</x:v>
      </x:c>
      <x:c r="C38" s="42" t="n">
        <x:v>390</x:v>
      </x:c>
      <x:c r="D38" s="14" t="n">
        <x:v>3</x:v>
      </x:c>
      <x:c r="E38" s="14" t="str">
        <x:v>I</x:v>
      </x:c>
      <x:c r="F38" s="14" t="str">
        <x:v>—</x:v>
      </x:c>
      <x:c r="G38" s="14" t="str">
        <x:v>BR DB</x:v>
      </x:c>
      <x:c r="H38" s="14" t="str">
        <x:v>Subseção/FAQ</x:v>
      </x:c>
      <x:c r="I38" s="14" t="str">
        <x:v>https://seranking.com/</x:v>
      </x:c>
      <x:c r="J38" s="14" t="str">
        <x:v>2026-09-06</x:v>
      </x:c>
    </x:row>
    <x:row r="39">
      <x:c r="A39" s="14" t="str">
        <x:v>Invisalign</x:v>
      </x:c>
      <x:c r="B39" s="14" t="str">
        <x:v>aparelho Invisalign</x:v>
      </x:c>
      <x:c r="C39" s="42" t="n">
        <x:v>14800</x:v>
      </x:c>
      <x:c r="D39" s="14" t="n">
        <x:v>81</x:v>
      </x:c>
      <x:c r="E39" s="14" t="str">
        <x:v>L/C</x:v>
      </x:c>
      <x:c r="F39" s="14" t="str">
        <x:v>Local Pack</x:v>
      </x:c>
      <x:c r="G39" s="14" t="str">
        <x:v>BR DB</x:v>
      </x:c>
      <x:c r="H39" s="14" t="str">
        <x:v>Copy comercial</x:v>
      </x:c>
      <x:c r="I39" s="14" t="str">
        <x:v>https://seranking.com/</x:v>
      </x:c>
      <x:c r="J39" s="14" t="str">
        <x:v>2026-09-06</x:v>
      </x:c>
    </x:row>
    <x:row r="40">
      <x:c r="A40" s="14" t="str">
        <x:v>Invisalign</x:v>
      </x:c>
      <x:c r="B40" s="14" t="str">
        <x:v>aparelho invisível</x:v>
      </x:c>
      <x:c r="C40" s="42" t="n">
        <x:v>10800</x:v>
      </x:c>
      <x:c r="D40" s="14" t="n">
        <x:v>61</x:v>
      </x:c>
      <x:c r="E40" s="14" t="str">
        <x:v>L/C</x:v>
      </x:c>
      <x:c r="F40" s="14" t="str">
        <x:v>Local Pack</x:v>
      </x:c>
      <x:c r="G40" s="14" t="str">
        <x:v>BR DB</x:v>
      </x:c>
      <x:c r="H40" s="14" t="str">
        <x:v>Semântica de paciente</x:v>
      </x:c>
      <x:c r="I40" s="14" t="str">
        <x:v>https://seranking.com/</x:v>
      </x:c>
      <x:c r="J40" s="14" t="str">
        <x:v>2026-09-06</x:v>
      </x:c>
    </x:row>
    <x:row r="41">
      <x:c r="A41" s="14" t="str">
        <x:v>Invisalign</x:v>
      </x:c>
      <x:c r="B41" s="14" t="str">
        <x:v>alinhadores invisíveis</x:v>
      </x:c>
      <x:c r="C41" s="42" t="n">
        <x:v>2400</x:v>
      </x:c>
      <x:c r="D41" s="14" t="n">
        <x:v>51</x:v>
      </x:c>
      <x:c r="E41" s="14" t="str">
        <x:v>I</x:v>
      </x:c>
      <x:c r="F41" s="14" t="str">
        <x:v>—</x:v>
      </x:c>
      <x:c r="G41" s="14" t="str">
        <x:v>BR DB</x:v>
      </x:c>
      <x:c r="H41" s="14" t="str">
        <x:v>H2/FAQ</x:v>
      </x:c>
      <x:c r="I41" s="14" t="str">
        <x:v>https://seranking.com/</x:v>
      </x:c>
      <x:c r="J41" s="14" t="str">
        <x:v>2026-09-06</x:v>
      </x:c>
    </x:row>
    <x:row r="42">
      <x:c r="A42" s="14" t="str">
        <x:v>Siso</x:v>
      </x:c>
      <x:c r="B42" s="14" t="str">
        <x:v>extração de siso</x:v>
      </x:c>
      <x:c r="C42" s="42" t="n">
        <x:v>9900</x:v>
      </x:c>
      <x:c r="D42" s="14" t="n">
        <x:v>60</x:v>
      </x:c>
      <x:c r="E42" s="14" t="str">
        <x:v>I</x:v>
      </x:c>
      <x:c r="F42" s="14" t="str">
        <x:v>PAA</x:v>
      </x:c>
      <x:c r="G42" s="14" t="str">
        <x:v>BR DB</x:v>
      </x:c>
      <x:c r="H42" s="14" t="str">
        <x:v>Página própria</x:v>
      </x:c>
      <x:c r="I42" s="14" t="str">
        <x:v>https://seranking.com/</x:v>
      </x:c>
      <x:c r="J42" s="14" t="str">
        <x:v>2026-09-06</x:v>
      </x:c>
    </x:row>
    <x:row r="43">
      <x:c r="A43" s="14" t="str">
        <x:v>Siso</x:v>
      </x:c>
      <x:c r="B43" s="14" t="str">
        <x:v>cirurgia do siso</x:v>
      </x:c>
      <x:c r="C43" s="42" t="n">
        <x:v>2900</x:v>
      </x:c>
      <x:c r="D43" s="14" t="n">
        <x:v>56</x:v>
      </x:c>
      <x:c r="E43" s="14" t="str">
        <x:v>I</x:v>
      </x:c>
      <x:c r="F43" s="14" t="str">
        <x:v>PAA</x:v>
      </x:c>
      <x:c r="G43" s="14" t="str">
        <x:v>BR DB</x:v>
      </x:c>
      <x:c r="H43" s="14" t="str">
        <x:v>Variação comercial/informacional</x:v>
      </x:c>
      <x:c r="I43" s="14" t="str">
        <x:v>https://seranking.com/</x:v>
      </x:c>
      <x:c r="J43" s="14" t="str">
        <x:v>2026-09-06</x:v>
      </x:c>
    </x:row>
    <x:row r="44">
      <x:c r="A44" s="14" t="str">
        <x:v>Siso</x:v>
      </x:c>
      <x:c r="B44" s="14" t="str">
        <x:v>siso incluso</x:v>
      </x:c>
      <x:c r="C44" s="42" t="n">
        <x:v>4400</x:v>
      </x:c>
      <x:c r="D44" s="14" t="n">
        <x:v>27</x:v>
      </x:c>
      <x:c r="E44" s="14" t="str">
        <x:v>I</x:v>
      </x:c>
      <x:c r="F44" s="14" t="str">
        <x:v>—</x:v>
      </x:c>
      <x:c r="G44" s="14" t="str">
        <x:v>BR DB</x:v>
      </x:c>
      <x:c r="H44" s="14" t="str">
        <x:v>H2/FAQ</x:v>
      </x:c>
      <x:c r="I44" s="14" t="str">
        <x:v>https://seranking.com/</x:v>
      </x:c>
      <x:c r="J44" s="14" t="str">
        <x:v>2026-09-06</x:v>
      </x:c>
    </x:row>
    <x:row r="45">
      <x:c r="A45" s="14" t="str">
        <x:v>Bruxismo</x:v>
      </x:c>
      <x:c r="B45" s="14" t="str">
        <x:v>rangendo os dentes</x:v>
      </x:c>
      <x:c r="C45" s="42" t="n">
        <x:v>3600</x:v>
      </x:c>
      <x:c r="D45" s="14"/>
      <x:c r="E45" s="14" t="str">
        <x:v>I</x:v>
      </x:c>
      <x:c r="F45" s="14" t="str">
        <x:v>—</x:v>
      </x:c>
      <x:c r="G45" s="14" t="str">
        <x:v>BR DB</x:v>
      </x:c>
      <x:c r="H45" s="14" t="str">
        <x:v>Copy por sintoma</x:v>
      </x:c>
      <x:c r="I45" s="14" t="str">
        <x:v>https://seranking.com/</x:v>
      </x:c>
      <x:c r="J45" s="14" t="str">
        <x:v>2026-09-06</x:v>
      </x:c>
    </x:row>
    <x:row r="46">
      <x:c r="A46" s="14" t="str">
        <x:v>Bruxismo</x:v>
      </x:c>
      <x:c r="B46" s="14" t="str">
        <x:v>ranger os dentes</x:v>
      </x:c>
      <x:c r="C46" s="42" t="n">
        <x:v>3200</x:v>
      </x:c>
      <x:c r="D46" s="14"/>
      <x:c r="E46" s="14" t="str">
        <x:v>I</x:v>
      </x:c>
      <x:c r="F46" s="14" t="str">
        <x:v>—</x:v>
      </x:c>
      <x:c r="G46" s="14" t="str">
        <x:v>BR DB</x:v>
      </x:c>
      <x:c r="H46" s="14" t="str">
        <x:v>Copy por sintoma</x:v>
      </x:c>
      <x:c r="I46" s="14" t="str">
        <x:v>https://seranking.com/</x:v>
      </x:c>
      <x:c r="J46" s="14" t="str">
        <x:v>2026-09-06</x:v>
      </x:c>
    </x:row>
    <x:row r="47">
      <x:c r="A47" s="14" t="str">
        <x:v>Bruxismo</x:v>
      </x:c>
      <x:c r="B47" s="14" t="str">
        <x:v>bruxismo sintomas</x:v>
      </x:c>
      <x:c r="C47" s="42" t="n">
        <x:v>2400</x:v>
      </x:c>
      <x:c r="D47" s="14"/>
      <x:c r="E47" s="14" t="str">
        <x:v>I</x:v>
      </x:c>
      <x:c r="F47" s="14" t="str">
        <x:v>—</x:v>
      </x:c>
      <x:c r="G47" s="14" t="str">
        <x:v>BR DB</x:v>
      </x:c>
      <x:c r="H47" s="14" t="str">
        <x:v>H2 + artigo</x:v>
      </x:c>
      <x:c r="I47" s="14" t="str">
        <x:v>https://seranking.com/</x:v>
      </x:c>
      <x:c r="J47" s="14" t="str">
        <x:v>2026-09-06</x:v>
      </x:c>
    </x:row>
    <x:row r="48">
      <x:c r="A48" s="14" t="str">
        <x:v>Canal</x:v>
      </x:c>
      <x:c r="B48" s="14" t="str">
        <x:v>canal no dente</x:v>
      </x:c>
      <x:c r="C48" s="42" t="n">
        <x:v>33100</x:v>
      </x:c>
      <x:c r="D48" s="14" t="n">
        <x:v>49</x:v>
      </x:c>
      <x:c r="E48" s="14" t="str">
        <x:v>I</x:v>
      </x:c>
      <x:c r="F48" s="14" t="str">
        <x:v>—</x:v>
      </x:c>
      <x:c r="G48" s="14" t="str">
        <x:v>BR DB</x:v>
      </x:c>
      <x:c r="H48" s="14" t="str">
        <x:v>Termo popular em copy</x:v>
      </x:c>
      <x:c r="I48" s="14" t="str">
        <x:v>https://seranking.com/</x:v>
      </x:c>
      <x:c r="J48" s="14" t="str">
        <x:v>2026-09-06</x:v>
      </x:c>
    </x:row>
    <x:row r="49">
      <x:c r="A49" s="14" t="str">
        <x:v>Canal</x:v>
      </x:c>
      <x:c r="B49" s="14" t="str">
        <x:v>tratamento endodôntico</x:v>
      </x:c>
      <x:c r="C49" s="42" t="n">
        <x:v>3100</x:v>
      </x:c>
      <x:c r="D49" s="14" t="n">
        <x:v>61</x:v>
      </x:c>
      <x:c r="E49" s="14" t="str">
        <x:v>I</x:v>
      </x:c>
      <x:c r="F49" s="14" t="str">
        <x:v>—</x:v>
      </x:c>
      <x:c r="G49" s="14" t="str">
        <x:v>BR DB</x:v>
      </x:c>
      <x:c r="H49" s="14" t="str">
        <x:v>Termo técnico secundário</x:v>
      </x:c>
      <x:c r="I49" s="14" t="str">
        <x:v>https://seranking.com/</x:v>
      </x:c>
      <x:c r="J49" s="14" t="str">
        <x:v>2026-09-06</x:v>
      </x:c>
    </x:row>
    <x:row r="50">
      <x:c r="A50" s="14" t="str">
        <x:v>Canal</x:v>
      </x:c>
      <x:c r="B50" s="14" t="str">
        <x:v>retratamento de canal</x:v>
      </x:c>
      <x:c r="C50" s="42" t="n">
        <x:v>1600</x:v>
      </x:c>
      <x:c r="D50" s="14" t="n">
        <x:v>37</x:v>
      </x:c>
      <x:c r="E50" s="14" t="str">
        <x:v>I</x:v>
      </x:c>
      <x:c r="F50" s="14" t="str">
        <x:v>—</x:v>
      </x:c>
      <x:c r="G50" s="14" t="str">
        <x:v>BR DB</x:v>
      </x:c>
      <x:c r="H50" s="14" t="str">
        <x:v>Seção + blog, não URL separada</x:v>
      </x:c>
      <x:c r="I50" s="14" t="str">
        <x:v>https://seranking.com/</x:v>
      </x:c>
      <x:c r="J50" s="14" t="str">
        <x:v>2026-09-06</x:v>
      </x:c>
    </x:row>
    <x:row r="51">
      <x:c r="A51" s="14" t="str">
        <x:v>Reabilitação</x:v>
      </x:c>
      <x:c r="B51" s="14" t="str">
        <x:v>centro de reabilitação oral</x:v>
      </x:c>
      <x:c r="C51" s="42" t="n">
        <x:v>210</x:v>
      </x:c>
      <x:c r="D51" s="14" t="n">
        <x:v>4</x:v>
      </x:c>
      <x:c r="E51" s="14" t="str">
        <x:v>L/C</x:v>
      </x:c>
      <x:c r="F51" s="14" t="str">
        <x:v>Local Pack</x:v>
      </x:c>
      <x:c r="G51" s="14" t="str">
        <x:v>BR DB</x:v>
      </x:c>
      <x:c r="H51" s="14" t="str">
        <x:v>Valida intenção local/comercial apesar de volume menor</x:v>
      </x:c>
      <x:c r="I51" s="14" t="str">
        <x:v>https://seranking.com/</x:v>
      </x:c>
      <x:c r="J51" s="14" t="str">
        <x:v>2026-09-06</x:v>
      </x:c>
    </x:row>
    <x:row r="52">
      <x:c r="A52" s="14" t="str">
        <x:v>Reabilitação</x:v>
      </x:c>
      <x:c r="B52" s="14" t="str">
        <x:v>o que é reabilitação oral</x:v>
      </x:c>
      <x:c r="C52" s="42" t="n">
        <x:v>170</x:v>
      </x:c>
      <x:c r="D52" s="14" t="n">
        <x:v>3</x:v>
      </x:c>
      <x:c r="E52" s="14" t="str">
        <x:v>I</x:v>
      </x:c>
      <x:c r="F52" s="14" t="str">
        <x:v>PAA</x:v>
      </x:c>
      <x:c r="G52" s="14" t="str">
        <x:v>BR DB</x:v>
      </x:c>
      <x:c r="H52" s="14" t="str">
        <x:v>Conteúdo explicativo</x:v>
      </x:c>
      <x:c r="I52" s="14" t="str">
        <x:v>https://seranking.com/</x:v>
      </x:c>
      <x:c r="J52" s="14" t="str">
        <x:v>2026-09-06</x:v>
      </x:c>
    </x:row>
    <x:row r="53">
      <x:c r="A53" s="14" t="str">
        <x:v>Reabilitação</x:v>
      </x:c>
      <x:c r="B53" s="14" t="str">
        <x:v>clínica de reabilitação oral</x:v>
      </x:c>
      <x:c r="C53" s="42" t="n">
        <x:v>70</x:v>
      </x:c>
      <x:c r="D53" s="14" t="n">
        <x:v>4</x:v>
      </x:c>
      <x:c r="E53" s="14" t="str">
        <x:v>L/C</x:v>
      </x:c>
      <x:c r="F53" s="14" t="str">
        <x:v>Local Pack</x:v>
      </x:c>
      <x:c r="G53" s="14" t="str">
        <x:v>BR DB</x:v>
      </x:c>
      <x:c r="H53" s="14" t="str">
        <x:v>Valida landing P0 de caso complexo</x:v>
      </x:c>
      <x:c r="I53" s="14" t="str">
        <x:v>https://seranking.com/</x:v>
      </x:c>
      <x:c r="J53" s="14" t="str">
        <x:v>2026-09-06</x:v>
      </x:c>
    </x:row>
    <x:row r="54">
      <x:c r="A54" s="14" t="str">
        <x:v>Limpeza</x:v>
      </x:c>
      <x:c r="B54" s="14" t="str">
        <x:v>limpeza dentária</x:v>
      </x:c>
      <x:c r="C54" s="42" t="n">
        <x:v>9900</x:v>
      </x:c>
      <x:c r="D54" s="14" t="n">
        <x:v>57</x:v>
      </x:c>
      <x:c r="E54" s="14" t="str">
        <x:v>L/C</x:v>
      </x:c>
      <x:c r="F54" s="14" t="str">
        <x:v>Local Pack</x:v>
      </x:c>
      <x:c r="G54" s="14" t="str">
        <x:v>BR DB</x:v>
      </x:c>
      <x:c r="H54" s="14" t="str">
        <x:v>Keyword principal</x:v>
      </x:c>
      <x:c r="I54" s="14" t="str">
        <x:v>https://seranking.com/</x:v>
      </x:c>
      <x:c r="J54" s="14" t="str">
        <x:v>2026-09-06</x:v>
      </x:c>
    </x:row>
    <x:row r="55">
      <x:c r="A55" s="14" t="str">
        <x:v>Limpeza</x:v>
      </x:c>
      <x:c r="B55" s="14" t="str">
        <x:v>profilaxia dental</x:v>
      </x:c>
      <x:c r="C55" s="42" t="n">
        <x:v>8100</x:v>
      </x:c>
      <x:c r="D55" s="14" t="n">
        <x:v>32</x:v>
      </x:c>
      <x:c r="E55" s="14" t="str">
        <x:v>—</x:v>
      </x:c>
      <x:c r="F55" s="14" t="str">
        <x:v>—</x:v>
      </x:c>
      <x:c r="G55" s="14" t="str">
        <x:v>BR DB</x:v>
      </x:c>
      <x:c r="H55" s="14" t="str">
        <x:v>Termo técnico secundário</x:v>
      </x:c>
      <x:c r="I55" s="14" t="str">
        <x:v>https://seranking.com/</x:v>
      </x:c>
      <x:c r="J55" s="14" t="str">
        <x:v>2026-09-06</x:v>
      </x:c>
    </x:row>
    <x:row r="56">
      <x:c r="A56" s="14" t="str">
        <x:v>Limpeza</x:v>
      </x:c>
      <x:c r="B56" s="14" t="str">
        <x:v>limpeza dos dentes</x:v>
      </x:c>
      <x:c r="C56" s="42" t="n">
        <x:v>8000</x:v>
      </x:c>
      <x:c r="D56" s="14" t="n">
        <x:v>45</x:v>
      </x:c>
      <x:c r="E56" s="14" t="str">
        <x:v>L/C</x:v>
      </x:c>
      <x:c r="F56" s="14" t="str">
        <x:v>Local Pack</x:v>
      </x:c>
      <x:c r="G56" s="14" t="str">
        <x:v>BR DB</x:v>
      </x:c>
      <x:c r="H56" s="14" t="str">
        <x:v>Linguagem de paciente</x:v>
      </x:c>
      <x:c r="I56" s="14" t="str">
        <x:v>https://seranking.com/</x:v>
      </x:c>
      <x:c r="J56" s="14" t="str">
        <x:v>2026-09-06</x:v>
      </x:c>
    </x:row>
    <x:row r="57">
      <x:c r="A57" s="14" t="str">
        <x:v>Próteses</x:v>
      </x:c>
      <x:c r="B57" s="14" t="str">
        <x:v>prótese</x:v>
      </x:c>
      <x:c r="C57" s="42" t="n">
        <x:v>27100</x:v>
      </x:c>
      <x:c r="D57" s="14" t="n">
        <x:v>79</x:v>
      </x:c>
      <x:c r="E57" s="14" t="str">
        <x:v>L/C</x:v>
      </x:c>
      <x:c r="F57" s="14" t="str">
        <x:v>Local Pack</x:v>
      </x:c>
      <x:c r="G57" s="14" t="str">
        <x:v>BR DB</x:v>
      </x:c>
      <x:c r="H57" s="14" t="str">
        <x:v>Termo amplo; página geral</x:v>
      </x:c>
      <x:c r="I57" s="14" t="str">
        <x:v>https://seranking.com/</x:v>
      </x:c>
      <x:c r="J57" s="14" t="str">
        <x:v>2026-09-06</x:v>
      </x:c>
    </x:row>
    <x:row r="58">
      <x:c r="A58" s="14" t="str">
        <x:v>Próteses</x:v>
      </x:c>
      <x:c r="B58" s="14" t="str">
        <x:v>próteses dentárias</x:v>
      </x:c>
      <x:c r="C58" s="42" t="n">
        <x:v>1300</x:v>
      </x:c>
      <x:c r="D58" s="14" t="n">
        <x:v>59</x:v>
      </x:c>
      <x:c r="E58" s="14" t="str">
        <x:v>L/C</x:v>
      </x:c>
      <x:c r="F58" s="14" t="str">
        <x:v>Local Pack</x:v>
      </x:c>
      <x:c r="G58" s="14" t="str">
        <x:v>BR DB</x:v>
      </x:c>
      <x:c r="H58" s="14" t="str">
        <x:v>Keyword específica</x:v>
      </x:c>
      <x:c r="I58" s="14" t="str">
        <x:v>https://seranking.com/</x:v>
      </x:c>
      <x:c r="J58" s="14" t="str">
        <x:v>2026-09-06</x:v>
      </x:c>
    </x:row>
    <x:row r="59">
      <x:c r="A59" s="14" t="str">
        <x:v>Próteses</x:v>
      </x:c>
      <x:c r="B59" s="14" t="str">
        <x:v>prótese fixa</x:v>
      </x:c>
      <x:c r="C59" s="42" t="n">
        <x:v>12100</x:v>
      </x:c>
      <x:c r="D59" s="14" t="n">
        <x:v>40</x:v>
      </x:c>
      <x:c r="E59" s="14" t="str">
        <x:v>I</x:v>
      </x:c>
      <x:c r="F59" s="14" t="str">
        <x:v>—</x:v>
      </x:c>
      <x:c r="G59" s="14" t="str">
        <x:v>BR DB</x:v>
      </x:c>
      <x:c r="H59" s="14" t="str">
        <x:v>Modalidade somente se oferecida</x:v>
      </x:c>
      <x:c r="I59" s="14" t="str">
        <x:v>https://seranking.com/</x:v>
      </x:c>
      <x:c r="J59" s="14" t="str">
        <x:v>2026-09-06</x:v>
      </x:c>
    </x:row>
    <x:row r="60">
      <x:c r="A60" s="14" t="str">
        <x:v>Clareamento</x:v>
      </x:c>
      <x:c r="B60" s="14" t="str">
        <x:v>clareamento</x:v>
      </x:c>
      <x:c r="C60" s="42" t="n">
        <x:v>14800</x:v>
      </x:c>
      <x:c r="D60" s="14" t="n">
        <x:v>68</x:v>
      </x:c>
      <x:c r="E60" s="14" t="str">
        <x:v>L/C</x:v>
      </x:c>
      <x:c r="F60" s="14" t="str">
        <x:v>Local Pack</x:v>
      </x:c>
      <x:c r="G60" s="14" t="str">
        <x:v>BR DB</x:v>
      </x:c>
      <x:c r="H60" s="14" t="str">
        <x:v>Página Clareamento Dental</x:v>
      </x:c>
      <x:c r="I60" s="14" t="str">
        <x:v>https://seranking.com/</x:v>
      </x:c>
      <x:c r="J60" s="14" t="str">
        <x:v>2026-09-06</x:v>
      </x:c>
    </x:row>
    <x:row r="61">
      <x:c r="A61" s="14" t="str">
        <x:v>Clareamento</x:v>
      </x:c>
      <x:c r="B61" s="14" t="str">
        <x:v>clareamento dental valor</x:v>
      </x:c>
      <x:c r="C61" s="42" t="n">
        <x:v>4400</x:v>
      </x:c>
      <x:c r="D61" s="14" t="n">
        <x:v>52</x:v>
      </x:c>
      <x:c r="E61" s="14" t="str">
        <x:v>I</x:v>
      </x:c>
      <x:c r="F61" s="14" t="str">
        <x:v>—</x:v>
      </x:c>
      <x:c r="G61" s="14" t="str">
        <x:v>BR DB</x:v>
      </x:c>
      <x:c r="H61" s="14" t="str">
        <x:v>FAQ/intenção comercial</x:v>
      </x:c>
      <x:c r="I61" s="14" t="str">
        <x:v>https://seranking.com/</x:v>
      </x:c>
      <x:c r="J61" s="14" t="str">
        <x:v>2026-09-06</x:v>
      </x:c>
    </x:row>
    <x:row r="62">
      <x:c r="A62" s="14" t="str">
        <x:v>Clareamento</x:v>
      </x:c>
      <x:c r="B62" s="14" t="str">
        <x:v>clareamento de consultório</x:v>
      </x:c>
      <x:c r="C62" s="42" t="n">
        <x:v>1100</x:v>
      </x:c>
      <x:c r="D62" s="14" t="n">
        <x:v>55</x:v>
      </x:c>
      <x:c r="E62" s="14" t="str">
        <x:v>I</x:v>
      </x:c>
      <x:c r="F62" s="14" t="str">
        <x:v>—</x:v>
      </x:c>
      <x:c r="G62" s="14" t="str">
        <x:v>BR DB</x:v>
      </x:c>
      <x:c r="H62" s="14" t="str">
        <x:v>Copy de serviço profissional</x:v>
      </x:c>
      <x:c r="I62" s="14" t="str">
        <x:v>https://seranking.com/</x:v>
      </x:c>
      <x:c r="J62" s="14" t="str">
        <x:v>2026-09-06</x:v>
      </x:c>
    </x:row>
    <x:row r="63">
      <x:c r="A63" s="14" t="str">
        <x:v>Inlay/Onlay</x:v>
      </x:c>
      <x:c r="B63" s="14" t="str">
        <x:v>onlay</x:v>
      </x:c>
      <x:c r="C63" s="42" t="n">
        <x:v>6600</x:v>
      </x:c>
      <x:c r="D63" s="14" t="n">
        <x:v>49</x:v>
      </x:c>
      <x:c r="E63" s="14" t="str">
        <x:v>I</x:v>
      </x:c>
      <x:c r="F63" s="14" t="str">
        <x:v>—</x:v>
      </x:c>
      <x:c r="G63" s="14" t="str">
        <x:v>BR DB</x:v>
      </x:c>
      <x:c r="H63" s="14" t="str">
        <x:v>Página técnica com linguagem simples</x:v>
      </x:c>
      <x:c r="I63" s="14" t="str">
        <x:v>https://seranking.com/</x:v>
      </x:c>
      <x:c r="J63" s="14" t="str">
        <x:v>2026-09-06</x:v>
      </x:c>
    </x:row>
    <x:row r="64">
      <x:c r="A64" s="14" t="str">
        <x:v>Inlay/Onlay</x:v>
      </x:c>
      <x:c r="B64" s="14" t="str">
        <x:v>inlay dental</x:v>
      </x:c>
      <x:c r="C64" s="42" t="n">
        <x:v>480</x:v>
      </x:c>
      <x:c r="D64" s="14" t="n">
        <x:v>25</x:v>
      </x:c>
      <x:c r="E64" s="14" t="str">
        <x:v>I</x:v>
      </x:c>
      <x:c r="F64" s="14" t="str">
        <x:v>—</x:v>
      </x:c>
      <x:c r="G64" s="14" t="str">
        <x:v>BR DB</x:v>
      </x:c>
      <x:c r="H64" s="14" t="str">
        <x:v>Variação</x:v>
      </x:c>
      <x:c r="I64" s="14" t="str">
        <x:v>https://seranking.com/</x:v>
      </x:c>
      <x:c r="J64" s="14" t="str">
        <x:v>2026-09-06</x:v>
      </x:c>
    </x:row>
    <x:row r="65">
      <x:c r="A65" s="14" t="str">
        <x:v>Inlay/Onlay</x:v>
      </x:c>
      <x:c r="B65" s="14" t="str">
        <x:v>onlay de porcelana</x:v>
      </x:c>
      <x:c r="C65" s="42" t="n">
        <x:v>390</x:v>
      </x:c>
      <x:c r="D65" s="14" t="n">
        <x:v>6</x:v>
      </x:c>
      <x:c r="E65" s="14" t="str">
        <x:v>I</x:v>
      </x:c>
      <x:c r="F65" s="14" t="str">
        <x:v>—</x:v>
      </x:c>
      <x:c r="G65" s="14" t="str">
        <x:v>BR DB</x:v>
      </x:c>
      <x:c r="H65" s="14" t="str">
        <x:v>H2/FAQ</x:v>
      </x:c>
      <x:c r="I65" s="14" t="str">
        <x:v>https://seranking.com/</x:v>
      </x:c>
      <x:c r="J65" s="14" t="str">
        <x:v>2026-09-06</x:v>
      </x:c>
    </x:row>
    <x:row r="66">
      <x:c r="A66" s="14" t="str">
        <x:v>Diastema</x:v>
      </x:c>
      <x:c r="B66" s="14" t="str">
        <x:v>dentes separados</x:v>
      </x:c>
      <x:c r="C66" s="42" t="n">
        <x:v>1600</x:v>
      </x:c>
      <x:c r="D66" s="14" t="n">
        <x:v>54</x:v>
      </x:c>
      <x:c r="E66" s="14" t="str">
        <x:v>I</x:v>
      </x:c>
      <x:c r="F66" s="14" t="str">
        <x:v>—</x:v>
      </x:c>
      <x:c r="G66" s="14" t="str">
        <x:v>BR DB</x:v>
      </x:c>
      <x:c r="H66" s="14" t="str">
        <x:v>Linguagem de paciente</x:v>
      </x:c>
      <x:c r="I66" s="14" t="str">
        <x:v>https://seranking.com/</x:v>
      </x:c>
      <x:c r="J66" s="14" t="str">
        <x:v>2026-09-06</x:v>
      </x:c>
    </x:row>
    <x:row r="67">
      <x:c r="A67" s="14" t="str">
        <x:v>Diastema</x:v>
      </x:c>
      <x:c r="B67" s="14" t="str">
        <x:v>fechar diastema com resina valor</x:v>
      </x:c>
      <x:c r="C67" s="42" t="n">
        <x:v>480</x:v>
      </x:c>
      <x:c r="D67" s="14" t="n">
        <x:v>5</x:v>
      </x:c>
      <x:c r="E67" s="14" t="str">
        <x:v>I</x:v>
      </x:c>
      <x:c r="F67" s="14" t="str">
        <x:v>—</x:v>
      </x:c>
      <x:c r="G67" s="14" t="str">
        <x:v>BR DB</x:v>
      </x:c>
      <x:c r="H67" s="14" t="str">
        <x:v>FAQ/intenção de solução</x:v>
      </x:c>
      <x:c r="I67" s="14" t="str">
        <x:v>https://seranking.com/</x:v>
      </x:c>
      <x:c r="J67" s="14" t="str">
        <x:v>2026-09-06</x:v>
      </x:c>
    </x:row>
    <x:row r="68">
      <x:c r="A68" s="14" t="str">
        <x:v>Bichectomia</x:v>
      </x:c>
      <x:c r="B68" s="14" t="str">
        <x:v>bichectomia envelhece</x:v>
      </x:c>
      <x:c r="C68" s="42" t="n">
        <x:v>590</x:v>
      </x:c>
      <x:c r="D68" s="14" t="n">
        <x:v>6</x:v>
      </x:c>
      <x:c r="E68" s="14" t="str">
        <x:v>I</x:v>
      </x:c>
      <x:c r="F68" s="14" t="str">
        <x:v>PAA</x:v>
      </x:c>
      <x:c r="G68" s="14" t="str">
        <x:v>BR DB</x:v>
      </x:c>
      <x:c r="H68" s="14" t="str">
        <x:v>FAQ de limites/risco</x:v>
      </x:c>
      <x:c r="I68" s="14" t="str">
        <x:v>https://seranking.com/</x:v>
      </x:c>
      <x:c r="J68" s="14" t="str">
        <x:v>2026-09-06</x:v>
      </x:c>
    </x:row>
    <x:row r="69">
      <x:c r="A69" s="14" t="str">
        <x:v>Bichectomia</x:v>
      </x:c>
      <x:c r="B69" s="14" t="str">
        <x:v>bichectomia preço</x:v>
      </x:c>
      <x:c r="C69" s="42" t="n">
        <x:v>480</x:v>
      </x:c>
      <x:c r="D69" s="14" t="n">
        <x:v>5</x:v>
      </x:c>
      <x:c r="E69" s="14" t="str">
        <x:v>I</x:v>
      </x:c>
      <x:c r="F69" s="14" t="str">
        <x:v>—</x:v>
      </x:c>
      <x:c r="G69" s="14" t="str">
        <x:v>BR DB</x:v>
      </x:c>
      <x:c r="H69" s="14" t="str">
        <x:v>FAQ</x:v>
      </x:c>
      <x:c r="I69" s="14" t="str">
        <x:v>https://seranking.com/</x:v>
      </x:c>
      <x:c r="J69" s="14" t="str">
        <x:v>2026-09-06</x:v>
      </x:c>
    </x:row>
    <x:row r="70">
      <x:c r="A70" s="14" t="str">
        <x:v>Bichectomia</x:v>
      </x:c>
      <x:c r="B70" s="14" t="str">
        <x:v>bichectomia recuperação</x:v>
      </x:c>
      <x:c r="C70" s="42" t="n">
        <x:v>480</x:v>
      </x:c>
      <x:c r="D70" s="14" t="n">
        <x:v>4</x:v>
      </x:c>
      <x:c r="E70" s="14" t="str">
        <x:v>I</x:v>
      </x:c>
      <x:c r="F70" s="14" t="str">
        <x:v>—</x:v>
      </x:c>
      <x:c r="G70" s="14" t="str">
        <x:v>BR DB</x:v>
      </x:c>
      <x:c r="H70" s="14" t="str">
        <x:v>FAQ</x:v>
      </x:c>
      <x:c r="I70" s="14" t="str">
        <x:v>https://seranking.com/</x:v>
      </x:c>
      <x:c r="J70" s="14" t="str">
        <x:v>2026-09-06</x:v>
      </x:c>
    </x:row>
    <x:row r="71">
      <x:c r="A71" s="14" t="str">
        <x:v>Harmonização</x:v>
      </x:c>
      <x:c r="B71" s="14" t="str">
        <x:v>harmonização facial natural</x:v>
      </x:c>
      <x:c r="C71" s="42" t="n">
        <x:v>390</x:v>
      </x:c>
      <x:c r="D71" s="14"/>
      <x:c r="E71" s="14" t="str">
        <x:v>L/C</x:v>
      </x:c>
      <x:c r="F71" s="14" t="str">
        <x:v>Local Pack</x:v>
      </x:c>
      <x:c r="G71" s="14" t="str">
        <x:v>BR DB</x:v>
      </x:c>
      <x:c r="H71" s="14" t="str">
        <x:v>Copy de naturalidade alinhada à marca</x:v>
      </x:c>
      <x:c r="I71" s="14" t="str">
        <x:v>https://seranking.com/</x:v>
      </x:c>
      <x:c r="J71" s="14" t="str">
        <x:v>2026-09-06</x:v>
      </x:c>
    </x:row>
    <x:row r="72">
      <x:c r="A72" s="14" t="str">
        <x:v>Preenchimento</x:v>
      </x:c>
      <x:c r="B72" s="14" t="str">
        <x:v>preenchimento facial com ácido hialurônico</x:v>
      </x:c>
      <x:c r="C72" s="42" t="n">
        <x:v>320</x:v>
      </x:c>
      <x:c r="D72" s="14" t="n">
        <x:v>16</x:v>
      </x:c>
      <x:c r="E72" s="14" t="str">
        <x:v>I</x:v>
      </x:c>
      <x:c r="F72" s="14" t="str">
        <x:v>—</x:v>
      </x:c>
      <x:c r="G72" s="14" t="str">
        <x:v>BR DB</x:v>
      </x:c>
      <x:c r="H72" s="14" t="str">
        <x:v>Página Preenchimento Facial</x:v>
      </x:c>
      <x:c r="I72" s="14" t="str">
        <x:v>https://seranking.com/</x:v>
      </x:c>
      <x:c r="J72" s="14" t="str">
        <x:v>2026-09-06</x:v>
      </x:c>
    </x:row>
    <x:row r="73">
      <x:c r="A73" s="14" t="str">
        <x:v>Preenchimento</x:v>
      </x:c>
      <x:c r="B73" s="14" t="str">
        <x:v>preenchimento no rosto</x:v>
      </x:c>
      <x:c r="C73" s="42" t="n">
        <x:v>480</x:v>
      </x:c>
      <x:c r="D73" s="14" t="n">
        <x:v>14</x:v>
      </x:c>
      <x:c r="E73" s="14" t="str">
        <x:v>I</x:v>
      </x:c>
      <x:c r="F73" s="14" t="str">
        <x:v>—</x:v>
      </x:c>
      <x:c r="G73" s="14" t="str">
        <x:v>BR DB</x:v>
      </x:c>
      <x:c r="H73" s="14" t="str">
        <x:v>Semântica popular</x:v>
      </x:c>
      <x:c r="I73" s="14" t="str">
        <x:v>https://seranking.com/</x:v>
      </x:c>
      <x:c r="J73" s="14" t="str">
        <x:v>2026-09-06</x:v>
      </x:c>
    </x:row>
    <x:row r="74">
      <x:c r="A74" s="14" t="str">
        <x:v>Botox</x:v>
      </x:c>
      <x:c r="B74" s="14" t="str">
        <x:v>toxina botulínica</x:v>
      </x:c>
      <x:c r="C74" s="42" t="n">
        <x:v>33100</x:v>
      </x:c>
      <x:c r="D74" s="14" t="n">
        <x:v>87</x:v>
      </x:c>
      <x:c r="E74" s="14" t="str">
        <x:v>I</x:v>
      </x:c>
      <x:c r="F74" s="14" t="str">
        <x:v>—</x:v>
      </x:c>
      <x:c r="G74" s="14" t="str">
        <x:v>BR DB</x:v>
      </x:c>
      <x:c r="H74" s="14" t="str">
        <x:v>Termo clínico na copy</x:v>
      </x:c>
      <x:c r="I74" s="14" t="str">
        <x:v>https://seranking.com/</x:v>
      </x:c>
      <x:c r="J74" s="14" t="str">
        <x:v>2026-09-06</x:v>
      </x:c>
    </x:row>
    <x:row r="75">
      <x:c r="A75" s="14" t="str">
        <x:v>Botox</x:v>
      </x:c>
      <x:c r="B75" s="14" t="str">
        <x:v>botox no rosto</x:v>
      </x:c>
      <x:c r="C75" s="42" t="n">
        <x:v>14800</x:v>
      </x:c>
      <x:c r="D75" s="14" t="n">
        <x:v>68</x:v>
      </x:c>
      <x:c r="E75" s="14" t="str">
        <x:v>L/C</x:v>
      </x:c>
      <x:c r="F75" s="14" t="str">
        <x:v>Local Pack</x:v>
      </x:c>
      <x:c r="G75" s="14" t="str">
        <x:v>BR DB</x:v>
      </x:c>
      <x:c r="H75" s="14" t="str">
        <x:v>SEO orgânico</x:v>
      </x:c>
      <x:c r="I75" s="14" t="str">
        <x:v>https://seranking.com/</x:v>
      </x:c>
      <x:c r="J75" s="14" t="str">
        <x:v>2026-09-06</x:v>
      </x:c>
    </x:row>
    <x:row r="76">
      <x:c r="A76" s="14" t="str">
        <x:v>Botox</x:v>
      </x:c>
      <x:c r="B76" s="14" t="str">
        <x:v>botox facial</x:v>
      </x:c>
      <x:c r="C76" s="42" t="n">
        <x:v>1900</x:v>
      </x:c>
      <x:c r="D76" s="14" t="n">
        <x:v>69</x:v>
      </x:c>
      <x:c r="E76" s="14" t="str">
        <x:v>L/C</x:v>
      </x:c>
      <x:c r="F76" s="14" t="str">
        <x:v>Local Pack</x:v>
      </x:c>
      <x:c r="G76" s="14" t="str">
        <x:v>BR DB</x:v>
      </x:c>
      <x:c r="H76" s="14" t="str">
        <x:v>SEO orgânico; não Ads</x:v>
      </x:c>
      <x:c r="I76" s="14" t="str">
        <x:v>https://seranking.com/</x:v>
      </x:c>
      <x:c r="J76" s="14" t="str">
        <x:v>2026-09-06</x:v>
      </x:c>
    </x:row>
    <x:row r="77">
      <x:c r="A77" s="14" t="str">
        <x:v>Bioestimulador</x:v>
      </x:c>
      <x:c r="B77" s="14" t="str">
        <x:v>bioestimulador de colágeno</x:v>
      </x:c>
      <x:c r="C77" s="42" t="n">
        <x:v>18100</x:v>
      </x:c>
      <x:c r="D77" s="14" t="n">
        <x:v>63</x:v>
      </x:c>
      <x:c r="E77" s="14" t="str">
        <x:v>I</x:v>
      </x:c>
      <x:c r="F77" s="14" t="str">
        <x:v>—</x:v>
      </x:c>
      <x:c r="G77" s="14" t="str">
        <x:v>BR DB</x:v>
      </x:c>
      <x:c r="H77" s="14" t="str">
        <x:v>Página própria</x:v>
      </x:c>
      <x:c r="I77" s="14" t="str">
        <x:v>https://seranking.com/</x:v>
      </x:c>
      <x:c r="J77" s="14" t="str">
        <x:v>2026-09-06</x:v>
      </x:c>
    </x:row>
    <x:row r="78">
      <x:c r="A78" s="14" t="str">
        <x:v>Bioestimulador</x:v>
      </x:c>
      <x:c r="B78" s="14" t="str">
        <x:v>bioestimulador de colágeno no rosto</x:v>
      </x:c>
      <x:c r="C78" s="42" t="n">
        <x:v>3200</x:v>
      </x:c>
      <x:c r="D78" s="14" t="n">
        <x:v>50</x:v>
      </x:c>
      <x:c r="E78" s="14" t="str">
        <x:v>I</x:v>
      </x:c>
      <x:c r="F78" s="14" t="str">
        <x:v>—</x:v>
      </x:c>
      <x:c r="G78" s="14" t="str">
        <x:v>BR DB</x:v>
      </x:c>
      <x:c r="H78" s="14" t="str">
        <x:v>Copy semântica</x:v>
      </x:c>
      <x:c r="I78" s="14" t="str">
        <x:v>https://seranking.com/</x:v>
      </x:c>
      <x:c r="J78" s="14" t="str">
        <x:v>2026-09-06</x:v>
      </x:c>
    </x:row>
    <x:row r="79">
      <x:c r="A79" s="14" t="str">
        <x:v>Perfiloplastia</x:v>
      </x:c>
      <x:c r="B79" s="14" t="str">
        <x:v>perfiloplastia o que é</x:v>
      </x:c>
      <x:c r="C79" s="42" t="n">
        <x:v>390</x:v>
      </x:c>
      <x:c r="D79" s="14" t="n">
        <x:v>4</x:v>
      </x:c>
      <x:c r="E79" s="14" t="str">
        <x:v>I</x:v>
      </x:c>
      <x:c r="F79" s="14" t="str">
        <x:v>PAA</x:v>
      </x:c>
      <x:c r="G79" s="14" t="str">
        <x:v>BR DB</x:v>
      </x:c>
      <x:c r="H79" s="14" t="str">
        <x:v>Página P1</x:v>
      </x:c>
      <x:c r="I79" s="14" t="str">
        <x:v>https://seranking.com/</x:v>
      </x:c>
      <x:c r="J79" s="14" t="str">
        <x:v>2026-09-06</x:v>
      </x:c>
    </x:row>
    <x:row r="80">
      <x:c r="A80" s="14" t="str">
        <x:v>Perfiloplastia</x:v>
      </x:c>
      <x:c r="B80" s="14" t="str">
        <x:v>perfiloplastia antes e depois</x:v>
      </x:c>
      <x:c r="C80" s="42" t="n">
        <x:v>320</x:v>
      </x:c>
      <x:c r="D80" s="14" t="n">
        <x:v>7</x:v>
      </x:c>
      <x:c r="E80" s="14" t="str">
        <x:v>I</x:v>
      </x:c>
      <x:c r="F80" s="14" t="str">
        <x:v>—</x:v>
      </x:c>
      <x:c r="G80" s="14" t="str">
        <x:v>BR DB</x:v>
      </x:c>
      <x:c r="H80" s="14" t="str">
        <x:v>Intenção visual; usar casos somente autorizados</x:v>
      </x:c>
      <x:c r="I80" s="14" t="str">
        <x:v>https://seranking.com/</x:v>
      </x:c>
      <x:c r="J80" s="14" t="str">
        <x:v>2026-09-06</x:v>
      </x:c>
    </x:row>
    <x:row r="81">
      <x:c r="A81" s="14" t="str">
        <x:v>Perfiloplastia</x:v>
      </x:c>
      <x:c r="B81" s="14" t="str">
        <x:v>perfiloplastia com ácido hialurônico</x:v>
      </x:c>
      <x:c r="C81" s="42" t="n">
        <x:v>210</x:v>
      </x:c>
      <x:c r="D81" s="14" t="n">
        <x:v>7</x:v>
      </x:c>
      <x:c r="E81" s="14" t="str">
        <x:v>I</x:v>
      </x:c>
      <x:c r="F81" s="14" t="str">
        <x:v>—</x:v>
      </x:c>
      <x:c r="G81" s="14" t="str">
        <x:v>BR DB</x:v>
      </x:c>
      <x:c r="H81" s="14" t="str">
        <x:v>Subseção</x:v>
      </x:c>
      <x:c r="I81" s="14" t="str">
        <x:v>https://seranking.com/</x:v>
      </x:c>
      <x:c r="J81" s="14" t="str">
        <x:v>2026-09-06</x:v>
      </x:c>
    </x:row>
    <x:row r="84">
      <x:c r="A84" s="46" t="str">
        <x:v>NOTA METODOLÓGICA — Os volumes acima são principalmente da base brasileira do SE Ranking. Consultas com modificador geográfico têm naturalmente volume menor e, para vários tratamentos, não aparecem com volume mensurável. Por isso a decisão V4 combina: (1) nomenclatura/volume nacional para entender como o paciente chama o tratamento; (2) consultas qualificadas com Florianópolis quando disponíveis; (3) SERP/Local Pack; (4) rankings atuais do domínio; e (5) conteúdo clínico real enviado pela Dra. Sara. Volume 0 ou ausência de keyword local NÃO foi interpretado como ausência de demanda local.</x:v>
      </x:c>
      <x:c r="B84" s="46"/>
      <x:c r="C84" s="46"/>
      <x:c r="D84" s="46"/>
      <x:c r="E84" s="46"/>
      <x:c r="F84" s="46"/>
      <x:c r="G84" s="46"/>
      <x:c r="H84" s="46"/>
      <x:c r="I84" s="46"/>
      <x:c r="J84" s="46"/>
    </x:row>
    <x:row r="85">
      <x:c r="A85" s="46"/>
      <x:c r="B85" s="46"/>
      <x:c r="C85" s="46"/>
      <x:c r="D85" s="46"/>
      <x:c r="E85" s="46"/>
      <x:c r="F85" s="46"/>
      <x:c r="G85" s="46"/>
      <x:c r="H85" s="46"/>
      <x:c r="I85" s="46"/>
      <x:c r="J85" s="46"/>
    </x:row>
    <x:row r="86">
      <x:c r="A86" s="46"/>
      <x:c r="B86" s="46"/>
      <x:c r="C86" s="46"/>
      <x:c r="D86" s="46"/>
      <x:c r="E86" s="46"/>
      <x:c r="F86" s="46"/>
      <x:c r="G86" s="46"/>
      <x:c r="H86" s="46"/>
      <x:c r="I86" s="46"/>
      <x:c r="J86" s="46"/>
    </x:row>
    <x:row r="87">
      <x:c r="A87" s="46"/>
      <x:c r="B87" s="46"/>
      <x:c r="C87" s="46"/>
      <x:c r="D87" s="46"/>
      <x:c r="E87" s="46"/>
      <x:c r="F87" s="46"/>
      <x:c r="G87" s="46"/>
      <x:c r="H87" s="46"/>
      <x:c r="I87" s="46"/>
      <x:c r="J87" s="46"/>
    </x:row>
  </x:sheetData>
  <x:mergeCells>
    <x:mergeCell ref="A84:J87"/>
  </x:mergeCells>
  <x:pageMargins left="0.7" right="0.7" top="0.75" bottom="0.75" header="0.3" footer="0.3"/>
  <x:tableParts count="1">
    <x:tablePart xmlns:r="http://schemas.openxmlformats.org/officeDocument/2006/relationships" r:id="R6d87efd2dd3f4360"/>
  </x:tableParts>
</x:worksheet>
</file>